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" sheetId="1" state="visible" r:id="rId1"/>
    <sheet name="PARTICIPANT DIRECTORY" sheetId="2" state="visible" r:id="rId2"/>
    <sheet name="DEPARTMENT REFLECTION" sheetId="3" state="visible" r:id="rId3"/>
    <sheet name="DATA NOTES" sheetId="4" state="visible" r:id="rId4"/>
  </sheets>
  <definedNames>
    <definedName name="DepartmentList">'DEPARTMENT REFLECTION'!$A$2:$A$14</definedName>
    <definedName name="_xlnm._FilterDatabase" localSheetId="0" hidden="1">'SEARCH'!$A$8:$H$11</definedName>
    <definedName name="_xlnm._FilterDatabase" localSheetId="1" hidden="1">'PARTICIPANT DIRECTORY'!$A$1:$N$126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44546A"/>
    </font>
    <font>
      <b val="1"/>
      <color rgb="00FFFFFF"/>
    </font>
    <font>
      <b val="1"/>
      <sz val="14"/>
    </font>
    <font>
      <b val="1"/>
      <sz val="12"/>
    </font>
    <font>
      <i val="1"/>
      <color rgb="00375623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B183"/>
      </patternFill>
    </fill>
    <fill>
      <patternFill patternType="solid">
        <fgColor rgb="00E2F0D9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bottom style="medium">
        <color rgb="0017365D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hair">
        <color rgb="00D9E1F2"/>
      </bottom>
    </border>
    <border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8" fillId="7" borderId="0" pivotButton="0" quotePrefix="0" xfId="0"/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rticipantDirectory" displayName="ParticipantDirectory" ref="A1:N126" headerRowCount="1">
  <autoFilter ref="A1:N126"/>
  <tableColumns count="14">
    <tableColumn id="1" name="Name"/>
    <tableColumn id="2" name="Breakout 1 Time"/>
    <tableColumn id="3" name="Breakout 1 Session"/>
    <tableColumn id="4" name="Breakout 1 Title"/>
    <tableColumn id="5" name="Breakout 1 Presenter(s)"/>
    <tableColumn id="6" name="Breakout 1 Venue"/>
    <tableColumn id="7" name="Breakout 2 Time"/>
    <tableColumn id="8" name="Breakout 2 Session"/>
    <tableColumn id="9" name="Breakout 2 Title"/>
    <tableColumn id="10" name="Breakout 2 Presenter(s)"/>
    <tableColumn id="11" name="Breakout 2 Venue"/>
    <tableColumn id="12" name="Department"/>
    <tableColumn id="13" name="Department Reflection Venue"/>
    <tableColumn id="14" name="Department Reflection Facilitato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partmentReflection" displayName="DepartmentReflection" ref="A1:C14" headerRowCount="1">
  <autoFilter ref="A1:C14"/>
  <tableColumns count="3">
    <tableColumn id="1" name="Department"/>
    <tableColumn id="2" name="Venue"/>
    <tableColumn id="3" name="HOD / Facilitato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8" customWidth="1" min="3" max="3"/>
    <col width="28" customWidth="1" min="4" max="4"/>
    <col width="15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1" t="inlineStr">
        <is>
          <t>LFL 2026 — Personal Session Finder</t>
        </is>
      </c>
    </row>
    <row r="2">
      <c r="A2" s="2" t="inlineStr">
        <is>
          <t>Type a full or partial name in B4. The first matching participant will appear below.</t>
        </is>
      </c>
    </row>
    <row r="4">
      <c r="A4" s="3" t="inlineStr">
        <is>
          <t>Search name</t>
        </is>
      </c>
      <c r="B4" s="4" t="inlineStr"/>
      <c r="C4" s="5" t="n"/>
      <c r="D4" s="5" t="n"/>
      <c r="E4" s="5" t="n"/>
      <c r="F4" s="5" t="n"/>
    </row>
    <row r="5">
      <c r="A5" s="3" t="inlineStr">
        <is>
          <t>Select department</t>
        </is>
      </c>
      <c r="B5" s="6" t="inlineStr"/>
      <c r="C5" s="7" t="n"/>
      <c r="D5" s="7" t="n"/>
      <c r="E5" s="7" t="n"/>
      <c r="F5" s="7" t="n"/>
    </row>
    <row r="6">
      <c r="A6" t="inlineStr">
        <is>
          <t>Participant</t>
        </is>
      </c>
      <c r="B6">
        <f>IF($B$4="","",IFERROR(XLOOKUP("*"&amp;$B$4&amp;"*",'PARTICIPANT DIRECTORY'!$A$2:$A$200,'PARTICIPANT DIRECTORY'!$A$2:$A$200,"No matching name",2),"No matching name"))</f>
        <v/>
      </c>
    </row>
    <row r="8">
      <c r="A8" s="8" t="inlineStr">
        <is>
          <t>Session</t>
        </is>
      </c>
      <c r="B8" s="8" t="inlineStr">
        <is>
          <t>Time</t>
        </is>
      </c>
      <c r="C8" s="8" t="inlineStr">
        <is>
          <t>Session title</t>
        </is>
      </c>
      <c r="D8" s="8" t="inlineStr">
        <is>
          <t>Presenter(s)</t>
        </is>
      </c>
      <c r="E8" s="8" t="inlineStr">
        <is>
          <t>Venue</t>
        </is>
      </c>
      <c r="F8" s="8" t="inlineStr">
        <is>
          <t>Department / Notes</t>
        </is>
      </c>
      <c r="G8" s="8" t="inlineStr"/>
      <c r="H8" s="8" t="inlineStr"/>
    </row>
    <row r="9" ht="68" customHeight="1">
      <c r="A9" s="9" t="inlineStr">
        <is>
          <t>Breakout 1</t>
        </is>
      </c>
      <c r="B9" s="9" t="inlineStr">
        <is>
          <t>10:00–10:45</t>
        </is>
      </c>
      <c r="C9" s="9">
        <f>IFERROR(XLOOKUP($B$6,'PARTICIPANT DIRECTORY'!$A$2:$A$200,'PARTICIPANT DIRECTORY'!$D$2:$D$200,""),"")</f>
        <v/>
      </c>
      <c r="D9" s="9">
        <f>IFERROR(XLOOKUP($B$6,'PARTICIPANT DIRECTORY'!$A$2:$A$200,'PARTICIPANT DIRECTORY'!$E$2:$E$200,""),"")</f>
        <v/>
      </c>
      <c r="E9" s="9">
        <f>IFERROR(XLOOKUP($B$6,'PARTICIPANT DIRECTORY'!$A$2:$A$200,'PARTICIPANT DIRECTORY'!$F$2:$F$200,""),"")</f>
        <v/>
      </c>
      <c r="F9" s="9" t="n"/>
      <c r="G9" s="9" t="n"/>
      <c r="H9" s="9" t="n"/>
    </row>
    <row r="10" ht="68" customHeight="1">
      <c r="A10" s="10" t="inlineStr">
        <is>
          <t>Breakout 2</t>
        </is>
      </c>
      <c r="B10" s="10" t="inlineStr">
        <is>
          <t>11:00–11:45</t>
        </is>
      </c>
      <c r="C10" s="10">
        <f>IFERROR(XLOOKUP($B$6,'PARTICIPANT DIRECTORY'!$A$2:$A$200,'PARTICIPANT DIRECTORY'!$I$2:$I$200,""),"")</f>
        <v/>
      </c>
      <c r="D10" s="10">
        <f>IFERROR(XLOOKUP($B$6,'PARTICIPANT DIRECTORY'!$A$2:$A$200,'PARTICIPANT DIRECTORY'!$J$2:$J$200,""),"")</f>
        <v/>
      </c>
      <c r="E10" s="10">
        <f>IFERROR(XLOOKUP($B$6,'PARTICIPANT DIRECTORY'!$A$2:$A$200,'PARTICIPANT DIRECTORY'!$K$2:$K$200,""),"")</f>
        <v/>
      </c>
      <c r="F10" s="10" t="n"/>
      <c r="G10" s="10" t="n"/>
      <c r="H10" s="10" t="n"/>
    </row>
    <row r="11" ht="68" customHeight="1">
      <c r="A11" s="9" t="inlineStr">
        <is>
          <t>Department Reflection</t>
        </is>
      </c>
      <c r="B11" s="9" t="inlineStr">
        <is>
          <t>11:50–12:30</t>
        </is>
      </c>
      <c r="C11" s="9" t="inlineStr">
        <is>
          <t>Department Reflection &amp; Consolidation</t>
        </is>
      </c>
      <c r="D11" s="9">
        <f>IFERROR(XLOOKUP($B$5,'DEPARTMENT REFLECTION'!$A$2:$A$20,'DEPARTMENT REFLECTION'!$C$2:$C$20,""),"")</f>
        <v/>
      </c>
      <c r="E11" s="9">
        <f>IFERROR(XLOOKUP($B$5,'DEPARTMENT REFLECTION'!$A$2:$A$20,'DEPARTMENT REFLECTION'!$B$2:$B$20,""),"")</f>
        <v/>
      </c>
      <c r="F11" s="9">
        <f>$B$5</f>
        <v/>
      </c>
      <c r="G11" s="9" t="n"/>
      <c r="H11" s="9" t="n"/>
    </row>
    <row r="13">
      <c r="A13" s="11" t="inlineStr">
        <is>
          <t>Choose your department from the green dropdown above to display the correct Department Reflection venue and facilitator.</t>
        </is>
      </c>
    </row>
    <row r="14"/>
  </sheetData>
  <autoFilter ref="A8:H11"/>
  <mergeCells count="9">
    <mergeCell ref="B4:F4"/>
    <mergeCell ref="F10:H10"/>
    <mergeCell ref="A13:H14"/>
    <mergeCell ref="A2:H2"/>
    <mergeCell ref="B5:F5"/>
    <mergeCell ref="B6:H6"/>
    <mergeCell ref="F9:H9"/>
    <mergeCell ref="A1:H1"/>
    <mergeCell ref="F11:H11"/>
  </mergeCells>
  <dataValidations count="1">
    <dataValidation sqref="B5" showDropDown="0" showInputMessage="0" showErrorMessage="0" allowBlank="0" errorTitle="Invalid department" error="Please select a department from the dropdown list." promptTitle="Select your department" prompt="Choose a department to show the reflection details." type="list">
      <formula1>=DepartmentList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3" customWidth="1" min="3" max="3"/>
    <col width="52" customWidth="1" min="4" max="4"/>
    <col width="28" customWidth="1" min="5" max="5"/>
    <col width="15" customWidth="1" min="6" max="6"/>
    <col width="16" customWidth="1" min="7" max="7"/>
    <col width="13" customWidth="1" min="8" max="8"/>
    <col width="52" customWidth="1" min="9" max="9"/>
    <col width="28" customWidth="1" min="10" max="10"/>
    <col width="15" customWidth="1" min="11" max="11"/>
    <col width="48" customWidth="1" min="12" max="12"/>
    <col width="20" customWidth="1" min="13" max="13"/>
    <col width="30" customWidth="1" min="14" max="14"/>
  </cols>
  <sheetData>
    <row r="1" ht="34" customHeight="1">
      <c r="A1" s="8" t="inlineStr">
        <is>
          <t>Name</t>
        </is>
      </c>
      <c r="B1" s="8" t="inlineStr">
        <is>
          <t>Breakout 1 Time</t>
        </is>
      </c>
      <c r="C1" s="8" t="inlineStr">
        <is>
          <t>Breakout 1 Session</t>
        </is>
      </c>
      <c r="D1" s="8" t="inlineStr">
        <is>
          <t>Breakout 1 Title</t>
        </is>
      </c>
      <c r="E1" s="8" t="inlineStr">
        <is>
          <t>Breakout 1 Presenter(s)</t>
        </is>
      </c>
      <c r="F1" s="8" t="inlineStr">
        <is>
          <t>Breakout 1 Venue</t>
        </is>
      </c>
      <c r="G1" s="8" t="inlineStr">
        <is>
          <t>Breakout 2 Time</t>
        </is>
      </c>
      <c r="H1" s="8" t="inlineStr">
        <is>
          <t>Breakout 2 Session</t>
        </is>
      </c>
      <c r="I1" s="8" t="inlineStr">
        <is>
          <t>Breakout 2 Title</t>
        </is>
      </c>
      <c r="J1" s="8" t="inlineStr">
        <is>
          <t>Breakout 2 Presenter(s)</t>
        </is>
      </c>
      <c r="K1" s="8" t="inlineStr">
        <is>
          <t>Breakout 2 Venue</t>
        </is>
      </c>
      <c r="L1" s="8" t="inlineStr">
        <is>
          <t>Department</t>
        </is>
      </c>
      <c r="M1" s="8" t="inlineStr">
        <is>
          <t>Department Reflection Venue</t>
        </is>
      </c>
      <c r="N1" s="8" t="inlineStr">
        <is>
          <t>Department Reflection Facilitator</t>
        </is>
      </c>
    </row>
    <row r="2">
      <c r="A2" s="12" t="inlineStr">
        <is>
          <t>Abel Ang En Pei</t>
        </is>
      </c>
      <c r="B2" s="12" t="inlineStr">
        <is>
          <t>10:00–10:45</t>
        </is>
      </c>
      <c r="C2" s="12" t="inlineStr">
        <is>
          <t>Breakout 1</t>
        </is>
      </c>
      <c r="D2" s="12" t="inlineStr">
        <is>
          <t>Dialogic Talk for Thoughtful Thinkers</t>
        </is>
      </c>
      <c r="E2" s="12" t="inlineStr">
        <is>
          <t>Sasha Kaur dhillon</t>
        </is>
      </c>
      <c r="F2" s="12" t="inlineStr">
        <is>
          <t>G301</t>
        </is>
      </c>
      <c r="G2" s="12" t="inlineStr">
        <is>
          <t>11:00–11:45</t>
        </is>
      </c>
      <c r="H2" s="12" t="inlineStr">
        <is>
          <t>Breakout 2</t>
        </is>
      </c>
      <c r="I2" s="12" t="inlineStr">
        <is>
          <t>AI as Feedback, Not Fallback: Developing Critical Thinking Using AI</t>
        </is>
      </c>
      <c r="J2" s="12" t="inlineStr">
        <is>
          <t>Chen Ying &amp; Brendon Chee</t>
        </is>
      </c>
      <c r="K2" s="12" t="inlineStr">
        <is>
          <t>B105</t>
        </is>
      </c>
      <c r="L2" s="13" t="inlineStr"/>
      <c r="M2" s="12">
        <f>IFERROR(XLOOKUP(L2,'DEPARTMENT REFLECTION'!$A$2:$A$20,'DEPARTMENT REFLECTION'!$B$2:$B$20,""),"")</f>
        <v/>
      </c>
      <c r="N2" s="12">
        <f>IFERROR(XLOOKUP(L2,'DEPARTMENT REFLECTION'!$A$2:$A$20,'DEPARTMENT REFLECTION'!$C$2:$C$20,""),"")</f>
        <v/>
      </c>
    </row>
    <row r="3">
      <c r="A3" s="12" t="inlineStr">
        <is>
          <t>Adriel Thin Jie Hao</t>
        </is>
      </c>
      <c r="B3" s="12" t="inlineStr">
        <is>
          <t>10:00–10:45</t>
        </is>
      </c>
      <c r="C3" s="12" t="inlineStr">
        <is>
          <t>Breakout 1</t>
        </is>
      </c>
      <c r="D3" s="12" t="inlineStr">
        <is>
          <t>Exploring the Use of Non-Linear Pedagogy Principles to Deepen Student Learning in Physical Education</t>
        </is>
      </c>
      <c r="E3" s="12" t="inlineStr">
        <is>
          <t>Francis Lee</t>
        </is>
      </c>
      <c r="F3" s="12" t="inlineStr">
        <is>
          <t>E103</t>
        </is>
      </c>
      <c r="G3" s="12" t="inlineStr">
        <is>
          <t>11:00–11:45</t>
        </is>
      </c>
      <c r="H3" s="12" t="inlineStr">
        <is>
          <t>Breakout 2</t>
        </is>
      </c>
      <c r="I3" s="12" t="inlineStr">
        <is>
          <t>Cultivating Self-Directedness, Co-Constructing Success</t>
        </is>
      </c>
      <c r="J3" s="12" t="inlineStr">
        <is>
          <t>Anuthama &amp; Esther Wang</t>
        </is>
      </c>
      <c r="K3" s="12" t="inlineStr">
        <is>
          <t>E101</t>
        </is>
      </c>
      <c r="L3" s="13" t="inlineStr"/>
      <c r="M3" s="12">
        <f>IFERROR(XLOOKUP(L3,'DEPARTMENT REFLECTION'!$A$2:$A$20,'DEPARTMENT REFLECTION'!$B$2:$B$20,""),"")</f>
        <v/>
      </c>
      <c r="N3" s="12">
        <f>IFERROR(XLOOKUP(L3,'DEPARTMENT REFLECTION'!$A$2:$A$20,'DEPARTMENT REFLECTION'!$C$2:$C$20,""),"")</f>
        <v/>
      </c>
    </row>
    <row r="4">
      <c r="A4" s="12" t="inlineStr">
        <is>
          <t>Aliya Yusaf Ansari</t>
        </is>
      </c>
      <c r="B4" s="12" t="inlineStr">
        <is>
          <t>10:00–10:45</t>
        </is>
      </c>
      <c r="C4" s="12" t="inlineStr">
        <is>
          <t>Breakout 1</t>
        </is>
      </c>
      <c r="D4" s="12" t="inlineStr">
        <is>
          <t>Dialogic Talk for Thoughtful Thinkers</t>
        </is>
      </c>
      <c r="E4" s="12" t="inlineStr">
        <is>
          <t>Sasha Kaur dhillon</t>
        </is>
      </c>
      <c r="F4" s="12" t="inlineStr">
        <is>
          <t>G301</t>
        </is>
      </c>
      <c r="G4" s="12" t="inlineStr">
        <is>
          <t>11:00–11:45</t>
        </is>
      </c>
      <c r="H4" s="12" t="inlineStr">
        <is>
          <t>Breakout 2</t>
        </is>
      </c>
      <c r="I4" s="12" t="inlineStr">
        <is>
          <t>Experimenting with a Pedagogy of Discomfort in the GP Classroom</t>
        </is>
      </c>
      <c r="J4" s="12" t="inlineStr">
        <is>
          <t>Maryam Mohamed Mokhtar</t>
        </is>
      </c>
      <c r="K4" s="12" t="inlineStr">
        <is>
          <t>B109</t>
        </is>
      </c>
      <c r="L4" s="13" t="inlineStr"/>
      <c r="M4" s="12">
        <f>IFERROR(XLOOKUP(L4,'DEPARTMENT REFLECTION'!$A$2:$A$20,'DEPARTMENT REFLECTION'!$B$2:$B$20,""),"")</f>
        <v/>
      </c>
      <c r="N4" s="12">
        <f>IFERROR(XLOOKUP(L4,'DEPARTMENT REFLECTION'!$A$2:$A$20,'DEPARTMENT REFLECTION'!$C$2:$C$20,""),"")</f>
        <v/>
      </c>
    </row>
    <row r="5">
      <c r="A5" s="12" t="inlineStr">
        <is>
          <t>Ang Eng Oon Aaron</t>
        </is>
      </c>
      <c r="B5" s="12" t="inlineStr">
        <is>
          <t>10:00–10:45</t>
        </is>
      </c>
      <c r="C5" s="12" t="inlineStr">
        <is>
          <t>Breakout 1</t>
        </is>
      </c>
      <c r="D5" s="12" t="inlineStr">
        <is>
          <t>Dialogic Talk for Thoughtful Thinkers</t>
        </is>
      </c>
      <c r="E5" s="12" t="inlineStr">
        <is>
          <t>Sasha Kaur dhillon</t>
        </is>
      </c>
      <c r="F5" s="12" t="inlineStr">
        <is>
          <t>G301</t>
        </is>
      </c>
      <c r="G5" s="12" t="inlineStr">
        <is>
          <t>11:00–11:45</t>
        </is>
      </c>
      <c r="H5" s="12" t="inlineStr">
        <is>
          <t>Breakout 2</t>
        </is>
      </c>
      <c r="I5" s="12" t="inlineStr">
        <is>
          <t>AI as Feedback, Not Fallback: Developing Critical Thinking Using AI</t>
        </is>
      </c>
      <c r="J5" s="12" t="inlineStr">
        <is>
          <t>Chen Ying &amp; Brendon Chee</t>
        </is>
      </c>
      <c r="K5" s="12" t="inlineStr">
        <is>
          <t>B105</t>
        </is>
      </c>
      <c r="L5" s="13" t="inlineStr"/>
      <c r="M5" s="12">
        <f>IFERROR(XLOOKUP(L5,'DEPARTMENT REFLECTION'!$A$2:$A$20,'DEPARTMENT REFLECTION'!$B$2:$B$20,""),"")</f>
        <v/>
      </c>
      <c r="N5" s="12">
        <f>IFERROR(XLOOKUP(L5,'DEPARTMENT REFLECTION'!$A$2:$A$20,'DEPARTMENT REFLECTION'!$C$2:$C$20,""),"")</f>
        <v/>
      </c>
    </row>
    <row r="6">
      <c r="A6" s="12" t="inlineStr">
        <is>
          <t>Ang Mei Ling</t>
        </is>
      </c>
      <c r="B6" s="12" t="inlineStr">
        <is>
          <t>10:00–10:45</t>
        </is>
      </c>
      <c r="C6" s="12" t="inlineStr">
        <is>
          <t>Breakout 1</t>
        </is>
      </c>
      <c r="D6" s="12" t="inlineStr">
        <is>
          <t>AI in Mathematics: See the Thinking, Shape the Learning, Spark Joy</t>
        </is>
      </c>
      <c r="E6" s="12" t="inlineStr">
        <is>
          <t>Ng Lay Ling</t>
        </is>
      </c>
      <c r="F6" s="12" t="inlineStr">
        <is>
          <t>B109</t>
        </is>
      </c>
      <c r="G6" s="12" t="inlineStr">
        <is>
          <t>11:00–11:45</t>
        </is>
      </c>
      <c r="H6" s="12" t="inlineStr">
        <is>
          <t>Breakout 2</t>
        </is>
      </c>
      <c r="I6" s="12" t="inlineStr">
        <is>
          <t>Use of Brisk Teaching: Practical Strategies to Develop Metacognition and Adaptive Thinking through Form</t>
        </is>
      </c>
      <c r="J6" s="12" t="inlineStr">
        <is>
          <t>Alan Varella &amp; Cyrene Tan</t>
        </is>
      </c>
      <c r="K6" s="12" t="inlineStr">
        <is>
          <t>E104</t>
        </is>
      </c>
      <c r="L6" s="13" t="inlineStr"/>
      <c r="M6" s="12">
        <f>IFERROR(XLOOKUP(L6,'DEPARTMENT REFLECTION'!$A$2:$A$20,'DEPARTMENT REFLECTION'!$B$2:$B$20,""),"")</f>
        <v/>
      </c>
      <c r="N6" s="12">
        <f>IFERROR(XLOOKUP(L6,'DEPARTMENT REFLECTION'!$A$2:$A$20,'DEPARTMENT REFLECTION'!$C$2:$C$20,""),"")</f>
        <v/>
      </c>
    </row>
    <row r="7">
      <c r="A7" s="12" t="inlineStr">
        <is>
          <t>Ang Wan Yu, Florence</t>
        </is>
      </c>
      <c r="B7" s="12" t="inlineStr">
        <is>
          <t>10:00–10:45</t>
        </is>
      </c>
      <c r="C7" s="12" t="inlineStr">
        <is>
          <t>Breakout 1</t>
        </is>
      </c>
      <c r="D7" s="12" t="inlineStr">
        <is>
          <t>Multimodal Learning for Multi-Faceted Development of e21CC Skills</t>
        </is>
      </c>
      <c r="E7" s="12" t="inlineStr">
        <is>
          <t>Florence Ang &amp; Caroline Sng</t>
        </is>
      </c>
      <c r="F7" s="12" t="inlineStr">
        <is>
          <t>B106</t>
        </is>
      </c>
      <c r="G7" s="12" t="inlineStr">
        <is>
          <t>11:00–11:45</t>
        </is>
      </c>
      <c r="H7" s="12" t="inlineStr">
        <is>
          <t>Breakout 2</t>
        </is>
      </c>
      <c r="I7" s="12" t="inlineStr">
        <is>
          <t>Experimenting with a Pedagogy of Discomfort in the GP Classroom</t>
        </is>
      </c>
      <c r="J7" s="12" t="inlineStr">
        <is>
          <t>Maryam Mohamed Mokhtar</t>
        </is>
      </c>
      <c r="K7" s="12" t="inlineStr">
        <is>
          <t>B109</t>
        </is>
      </c>
      <c r="L7" s="13" t="inlineStr"/>
      <c r="M7" s="12">
        <f>IFERROR(XLOOKUP(L7,'DEPARTMENT REFLECTION'!$A$2:$A$20,'DEPARTMENT REFLECTION'!$B$2:$B$20,""),"")</f>
        <v/>
      </c>
      <c r="N7" s="12">
        <f>IFERROR(XLOOKUP(L7,'DEPARTMENT REFLECTION'!$A$2:$A$20,'DEPARTMENT REFLECTION'!$C$2:$C$20,""),"")</f>
        <v/>
      </c>
    </row>
    <row r="8">
      <c r="A8" s="12" t="inlineStr">
        <is>
          <t>Ang Yam Hui</t>
        </is>
      </c>
      <c r="B8" s="12" t="inlineStr">
        <is>
          <t>10:00–10:45</t>
        </is>
      </c>
      <c r="C8" s="12" t="inlineStr">
        <is>
          <t>Breakout 1</t>
        </is>
      </c>
      <c r="D8" s="12" t="inlineStr">
        <is>
          <t>AI in Mathematics: See the Thinking, Shape the Learning, Spark Joy</t>
        </is>
      </c>
      <c r="E8" s="12" t="inlineStr">
        <is>
          <t>Ng Lay Ling</t>
        </is>
      </c>
      <c r="F8" s="12" t="inlineStr">
        <is>
          <t>B109</t>
        </is>
      </c>
      <c r="G8" s="12" t="inlineStr">
        <is>
          <t>11:00–11:45</t>
        </is>
      </c>
      <c r="H8" s="12" t="inlineStr">
        <is>
          <t>Breakout 2</t>
        </is>
      </c>
      <c r="I8" s="12" t="inlineStr">
        <is>
          <t>AIMS vs Gemini: What AI Feedback Reveals About Student Writing (And What It Might Not)</t>
        </is>
      </c>
      <c r="J8" s="12" t="inlineStr">
        <is>
          <t>Irene Kuek &amp; Lin Pei-Chen</t>
        </is>
      </c>
      <c r="K8" s="12" t="inlineStr">
        <is>
          <t>E103</t>
        </is>
      </c>
      <c r="L8" s="13" t="inlineStr"/>
      <c r="M8" s="12">
        <f>IFERROR(XLOOKUP(L8,'DEPARTMENT REFLECTION'!$A$2:$A$20,'DEPARTMENT REFLECTION'!$B$2:$B$20,""),"")</f>
        <v/>
      </c>
      <c r="N8" s="12">
        <f>IFERROR(XLOOKUP(L8,'DEPARTMENT REFLECTION'!$A$2:$A$20,'DEPARTMENT REFLECTION'!$C$2:$C$20,""),"")</f>
        <v/>
      </c>
    </row>
    <row r="9">
      <c r="A9" s="12" t="inlineStr">
        <is>
          <t>Anuthama</t>
        </is>
      </c>
      <c r="B9" s="12" t="inlineStr">
        <is>
          <t>10:00–10:45</t>
        </is>
      </c>
      <c r="C9" s="12" t="inlineStr">
        <is>
          <t>Breakout 1</t>
        </is>
      </c>
      <c r="D9" s="12" t="inlineStr">
        <is>
          <t>Dialogic Talk for Thoughtful Thinkers</t>
        </is>
      </c>
      <c r="E9" s="12" t="inlineStr">
        <is>
          <t>Sasha Kaur dhillon</t>
        </is>
      </c>
      <c r="F9" s="12" t="inlineStr">
        <is>
          <t>G301</t>
        </is>
      </c>
      <c r="G9" s="12" t="inlineStr">
        <is>
          <t>11:00–11:45</t>
        </is>
      </c>
      <c r="H9" s="12" t="inlineStr">
        <is>
          <t>Breakout 2</t>
        </is>
      </c>
      <c r="I9" s="12" t="inlineStr">
        <is>
          <t>Cultivating Self-Directedness, Co-Constructing Success</t>
        </is>
      </c>
      <c r="J9" s="12" t="inlineStr">
        <is>
          <t>Anuthama &amp; Esther Wang</t>
        </is>
      </c>
      <c r="K9" s="12" t="inlineStr">
        <is>
          <t>E101</t>
        </is>
      </c>
      <c r="L9" s="13" t="inlineStr"/>
      <c r="M9" s="12">
        <f>IFERROR(XLOOKUP(L9,'DEPARTMENT REFLECTION'!$A$2:$A$20,'DEPARTMENT REFLECTION'!$B$2:$B$20,""),"")</f>
        <v/>
      </c>
      <c r="N9" s="12">
        <f>IFERROR(XLOOKUP(L9,'DEPARTMENT REFLECTION'!$A$2:$A$20,'DEPARTMENT REFLECTION'!$C$2:$C$20,""),"")</f>
        <v/>
      </c>
    </row>
    <row r="10">
      <c r="A10" s="12" t="inlineStr">
        <is>
          <t>Azahar B Dahlan</t>
        </is>
      </c>
      <c r="B10" s="12" t="inlineStr">
        <is>
          <t>10:00–10:45</t>
        </is>
      </c>
      <c r="C10" s="12" t="inlineStr">
        <is>
          <t>Breakout 1</t>
        </is>
      </c>
      <c r="D10" s="12" t="inlineStr">
        <is>
          <t>Multimodal Learning for Multi-Faceted Development of e21CC Skills</t>
        </is>
      </c>
      <c r="E10" s="12" t="inlineStr">
        <is>
          <t>Florence Ang &amp; Caroline Sng</t>
        </is>
      </c>
      <c r="F10" s="12" t="inlineStr">
        <is>
          <t>B106</t>
        </is>
      </c>
      <c r="G10" s="12" t="inlineStr">
        <is>
          <t>11:00–11:45</t>
        </is>
      </c>
      <c r="H10" s="12" t="inlineStr">
        <is>
          <t>Breakout 2</t>
        </is>
      </c>
      <c r="I10" s="12" t="inlineStr">
        <is>
          <t>Empowering Students to Understand Concepts, Not Just Content</t>
        </is>
      </c>
      <c r="J10" s="12" t="inlineStr">
        <is>
          <t>Trevor Tay &amp; Nuryani Suneh</t>
        </is>
      </c>
      <c r="K10" s="12" t="inlineStr">
        <is>
          <t>B110</t>
        </is>
      </c>
      <c r="L10" s="13" t="inlineStr"/>
      <c r="M10" s="12">
        <f>IFERROR(XLOOKUP(L10,'DEPARTMENT REFLECTION'!$A$2:$A$20,'DEPARTMENT REFLECTION'!$B$2:$B$20,""),"")</f>
        <v/>
      </c>
      <c r="N10" s="12">
        <f>IFERROR(XLOOKUP(L10,'DEPARTMENT REFLECTION'!$A$2:$A$20,'DEPARTMENT REFLECTION'!$C$2:$C$20,""),"")</f>
        <v/>
      </c>
    </row>
    <row r="11">
      <c r="A11" s="12" t="inlineStr">
        <is>
          <t>Chan Hui Lin</t>
        </is>
      </c>
      <c r="B11" s="12" t="inlineStr">
        <is>
          <t>10:00–10:45</t>
        </is>
      </c>
      <c r="C11" s="12" t="inlineStr">
        <is>
          <t>Breakout 1</t>
        </is>
      </c>
      <c r="D11" s="12" t="inlineStr">
        <is>
          <t>Dialogic Talk for Thoughtful Thinkers</t>
        </is>
      </c>
      <c r="E11" s="12" t="inlineStr">
        <is>
          <t>Sasha Kaur dhillon</t>
        </is>
      </c>
      <c r="F11" s="12" t="inlineStr">
        <is>
          <t>G301</t>
        </is>
      </c>
      <c r="G11" s="12" t="inlineStr">
        <is>
          <t>11:00–11:45</t>
        </is>
      </c>
      <c r="H11" s="12" t="inlineStr">
        <is>
          <t>Breakout 2</t>
        </is>
      </c>
      <c r="I11" s="12" t="inlineStr">
        <is>
          <t>AI as Feedback, Not Fallback: Developing Critical Thinking Using AI</t>
        </is>
      </c>
      <c r="J11" s="12" t="inlineStr">
        <is>
          <t>Chen Ying &amp; Brendon Chee</t>
        </is>
      </c>
      <c r="K11" s="12" t="inlineStr">
        <is>
          <t>B105</t>
        </is>
      </c>
      <c r="L11" s="13" t="inlineStr"/>
      <c r="M11" s="12">
        <f>IFERROR(XLOOKUP(L11,'DEPARTMENT REFLECTION'!$A$2:$A$20,'DEPARTMENT REFLECTION'!$B$2:$B$20,""),"")</f>
        <v/>
      </c>
      <c r="N11" s="12">
        <f>IFERROR(XLOOKUP(L11,'DEPARTMENT REFLECTION'!$A$2:$A$20,'DEPARTMENT REFLECTION'!$C$2:$C$20,""),"")</f>
        <v/>
      </c>
    </row>
    <row r="12">
      <c r="A12" s="12" t="inlineStr">
        <is>
          <t>CHANG XIAO PING, JULIAN</t>
        </is>
      </c>
      <c r="B12" s="12" t="inlineStr">
        <is>
          <t>10:00–10:45</t>
        </is>
      </c>
      <c r="C12" s="12" t="inlineStr">
        <is>
          <t>Breakout 1</t>
        </is>
      </c>
      <c r="D12" s="12" t="inlineStr">
        <is>
          <t>Multimodal Learning for Multi-Faceted Development of e21CC Skills</t>
        </is>
      </c>
      <c r="E12" s="12" t="inlineStr">
        <is>
          <t>Florence Ang &amp; Caroline Sng</t>
        </is>
      </c>
      <c r="F12" s="12" t="inlineStr">
        <is>
          <t>B106</t>
        </is>
      </c>
      <c r="G12" s="12" t="inlineStr">
        <is>
          <t>11:00–11:45</t>
        </is>
      </c>
      <c r="H12" s="12" t="inlineStr">
        <is>
          <t>Breakout 2</t>
        </is>
      </c>
      <c r="I12" s="12" t="inlineStr">
        <is>
          <t>Cultivating Self-Directedness, Co-Constructing Success</t>
        </is>
      </c>
      <c r="J12" s="12" t="inlineStr">
        <is>
          <t>Anuthama &amp; Esther Wang</t>
        </is>
      </c>
      <c r="K12" s="12" t="inlineStr">
        <is>
          <t>E101</t>
        </is>
      </c>
      <c r="L12" s="13" t="inlineStr"/>
      <c r="M12" s="12">
        <f>IFERROR(XLOOKUP(L12,'DEPARTMENT REFLECTION'!$A$2:$A$20,'DEPARTMENT REFLECTION'!$B$2:$B$20,""),"")</f>
        <v/>
      </c>
      <c r="N12" s="12">
        <f>IFERROR(XLOOKUP(L12,'DEPARTMENT REFLECTION'!$A$2:$A$20,'DEPARTMENT REFLECTION'!$C$2:$C$20,""),"")</f>
        <v/>
      </c>
    </row>
    <row r="13">
      <c r="A13" s="12" t="inlineStr">
        <is>
          <t>Chee Yao Rong Brendon</t>
        </is>
      </c>
      <c r="B13" s="12" t="inlineStr">
        <is>
          <t>10:00–10:45</t>
        </is>
      </c>
      <c r="C13" s="12" t="inlineStr">
        <is>
          <t>Breakout 1</t>
        </is>
      </c>
      <c r="D13" s="12" t="inlineStr">
        <is>
          <t>Fostering Student Passion in Project Work Using the From Near to Far Framework</t>
        </is>
      </c>
      <c r="E13" s="12" t="inlineStr">
        <is>
          <t>Mariya Ahmad</t>
        </is>
      </c>
      <c r="F13" s="12" t="inlineStr">
        <is>
          <t>E104</t>
        </is>
      </c>
      <c r="G13" s="12" t="inlineStr">
        <is>
          <t>11:00–11:45</t>
        </is>
      </c>
      <c r="H13" s="12" t="inlineStr">
        <is>
          <t>Breakout 2</t>
        </is>
      </c>
      <c r="I13" s="12" t="inlineStr">
        <is>
          <t>AI as Feedback, Not Fallback: Developing Critical Thinking Using AI</t>
        </is>
      </c>
      <c r="J13" s="12" t="inlineStr">
        <is>
          <t>Chen Ying &amp; Brendon Chee</t>
        </is>
      </c>
      <c r="K13" s="12" t="inlineStr">
        <is>
          <t>B105</t>
        </is>
      </c>
      <c r="L13" s="13" t="inlineStr"/>
      <c r="M13" s="12">
        <f>IFERROR(XLOOKUP(L13,'DEPARTMENT REFLECTION'!$A$2:$A$20,'DEPARTMENT REFLECTION'!$B$2:$B$20,""),"")</f>
        <v/>
      </c>
      <c r="N13" s="12">
        <f>IFERROR(XLOOKUP(L13,'DEPARTMENT REFLECTION'!$A$2:$A$20,'DEPARTMENT REFLECTION'!$C$2:$C$20,""),"")</f>
        <v/>
      </c>
    </row>
    <row r="14">
      <c r="A14" s="12" t="inlineStr">
        <is>
          <t>Chen Ying</t>
        </is>
      </c>
      <c r="B14" s="12" t="inlineStr">
        <is>
          <t>10:00–10:45</t>
        </is>
      </c>
      <c r="C14" s="12" t="inlineStr">
        <is>
          <t>Breakout 1</t>
        </is>
      </c>
      <c r="D14" s="12" t="inlineStr">
        <is>
          <t>AI and AA: An Attempt at Amalgamation</t>
        </is>
      </c>
      <c r="E14" s="12" t="inlineStr">
        <is>
          <t>Low Kian Seh</t>
        </is>
      </c>
      <c r="F14" s="12" t="inlineStr">
        <is>
          <t>E102</t>
        </is>
      </c>
      <c r="G14" s="12" t="inlineStr">
        <is>
          <t>11:00–11:45</t>
        </is>
      </c>
      <c r="H14" s="12" t="inlineStr">
        <is>
          <t>Breakout 2</t>
        </is>
      </c>
      <c r="I14" s="12" t="inlineStr">
        <is>
          <t>AI as Feedback, Not Fallback: Developing Critical Thinking Using AI</t>
        </is>
      </c>
      <c r="J14" s="12" t="inlineStr">
        <is>
          <t>Chen Ying &amp; Brendon Chee</t>
        </is>
      </c>
      <c r="K14" s="12" t="inlineStr">
        <is>
          <t>B105</t>
        </is>
      </c>
      <c r="L14" s="13" t="inlineStr"/>
      <c r="M14" s="12">
        <f>IFERROR(XLOOKUP(L14,'DEPARTMENT REFLECTION'!$A$2:$A$20,'DEPARTMENT REFLECTION'!$B$2:$B$20,""),"")</f>
        <v/>
      </c>
      <c r="N14" s="12">
        <f>IFERROR(XLOOKUP(L14,'DEPARTMENT REFLECTION'!$A$2:$A$20,'DEPARTMENT REFLECTION'!$C$2:$C$20,""),"")</f>
        <v/>
      </c>
    </row>
    <row r="15">
      <c r="A15" s="12" t="inlineStr">
        <is>
          <t>Cheng Elim</t>
        </is>
      </c>
      <c r="B15" s="12" t="inlineStr">
        <is>
          <t>10:00–10:45</t>
        </is>
      </c>
      <c r="C15" s="12" t="inlineStr">
        <is>
          <t>Breakout 1</t>
        </is>
      </c>
      <c r="D15" s="12" t="inlineStr">
        <is>
          <t>Dialogic Talk for Thoughtful Thinkers</t>
        </is>
      </c>
      <c r="E15" s="12" t="inlineStr">
        <is>
          <t>Sasha Kaur dhillon</t>
        </is>
      </c>
      <c r="F15" s="12" t="inlineStr">
        <is>
          <t>G301</t>
        </is>
      </c>
      <c r="G15" s="12" t="inlineStr">
        <is>
          <t>11:00–11:45</t>
        </is>
      </c>
      <c r="H15" s="12" t="inlineStr">
        <is>
          <t>Breakout 2</t>
        </is>
      </c>
      <c r="I15" s="12" t="inlineStr">
        <is>
          <t>Experimenting with a Pedagogy of Discomfort in the GP Classroom</t>
        </is>
      </c>
      <c r="J15" s="12" t="inlineStr">
        <is>
          <t>Maryam Mohamed Mokhtar</t>
        </is>
      </c>
      <c r="K15" s="12" t="inlineStr">
        <is>
          <t>B109</t>
        </is>
      </c>
      <c r="L15" s="13" t="inlineStr"/>
      <c r="M15" s="12">
        <f>IFERROR(XLOOKUP(L15,'DEPARTMENT REFLECTION'!$A$2:$A$20,'DEPARTMENT REFLECTION'!$B$2:$B$20,""),"")</f>
        <v/>
      </c>
      <c r="N15" s="12">
        <f>IFERROR(XLOOKUP(L15,'DEPARTMENT REFLECTION'!$A$2:$A$20,'DEPARTMENT REFLECTION'!$C$2:$C$20,""),"")</f>
        <v/>
      </c>
    </row>
    <row r="16">
      <c r="A16" s="12" t="inlineStr">
        <is>
          <t>Chew Yi Yang</t>
        </is>
      </c>
      <c r="B16" s="12" t="inlineStr">
        <is>
          <t>10:00–10:45</t>
        </is>
      </c>
      <c r="C16" s="12" t="inlineStr">
        <is>
          <t>Breakout 1</t>
        </is>
      </c>
      <c r="D16" s="12" t="inlineStr">
        <is>
          <t>Fostering Student Passion in Project Work Using the From Near to Far Framework</t>
        </is>
      </c>
      <c r="E16" s="12" t="inlineStr">
        <is>
          <t>Mariya Ahmad</t>
        </is>
      </c>
      <c r="F16" s="12" t="inlineStr">
        <is>
          <t>E104</t>
        </is>
      </c>
      <c r="G16" s="12" t="inlineStr">
        <is>
          <t>11:00–11:45</t>
        </is>
      </c>
      <c r="H16" s="12" t="inlineStr">
        <is>
          <t>Breakout 2</t>
        </is>
      </c>
      <c r="I16" s="12" t="inlineStr">
        <is>
          <t>Empowering Students to Understand Concepts, Not Just Content</t>
        </is>
      </c>
      <c r="J16" s="12" t="inlineStr">
        <is>
          <t>Trevor Tay &amp; Nuryani Suneh</t>
        </is>
      </c>
      <c r="K16" s="12" t="inlineStr">
        <is>
          <t>B110</t>
        </is>
      </c>
      <c r="L16" s="13" t="inlineStr"/>
      <c r="M16" s="12">
        <f>IFERROR(XLOOKUP(L16,'DEPARTMENT REFLECTION'!$A$2:$A$20,'DEPARTMENT REFLECTION'!$B$2:$B$20,""),"")</f>
        <v/>
      </c>
      <c r="N16" s="12">
        <f>IFERROR(XLOOKUP(L16,'DEPARTMENT REFLECTION'!$A$2:$A$20,'DEPARTMENT REFLECTION'!$C$2:$C$20,""),"")</f>
        <v/>
      </c>
    </row>
    <row r="17">
      <c r="A17" s="12" t="inlineStr">
        <is>
          <t>Choo Keng Kim Lisa</t>
        </is>
      </c>
      <c r="B17" s="12" t="inlineStr">
        <is>
          <t>10:00–10:45</t>
        </is>
      </c>
      <c r="C17" s="12" t="inlineStr">
        <is>
          <t>Breakout 1</t>
        </is>
      </c>
      <c r="D17" s="12" t="inlineStr">
        <is>
          <t>AI in Mathematics: See the Thinking, Shape the Learning, Spark Joy</t>
        </is>
      </c>
      <c r="E17" s="12" t="inlineStr">
        <is>
          <t>Ng Lay Ling</t>
        </is>
      </c>
      <c r="F17" s="12" t="inlineStr">
        <is>
          <t>B109</t>
        </is>
      </c>
      <c r="G17" s="12" t="inlineStr">
        <is>
          <t>11:00–11:45</t>
        </is>
      </c>
      <c r="H17" s="12" t="inlineStr">
        <is>
          <t>Breakout 2</t>
        </is>
      </c>
      <c r="I17" s="12" t="inlineStr">
        <is>
          <t>Evidence-Driven Decision-Making: Using Student Data to Complement Teacher Observations</t>
        </is>
      </c>
      <c r="J17" s="12" t="inlineStr">
        <is>
          <t>Christabelle Soh</t>
        </is>
      </c>
      <c r="K17" s="12" t="inlineStr">
        <is>
          <t>B106</t>
        </is>
      </c>
      <c r="L17" s="13" t="inlineStr"/>
      <c r="M17" s="12">
        <f>IFERROR(XLOOKUP(L17,'DEPARTMENT REFLECTION'!$A$2:$A$20,'DEPARTMENT REFLECTION'!$B$2:$B$20,""),"")</f>
        <v/>
      </c>
      <c r="N17" s="12">
        <f>IFERROR(XLOOKUP(L17,'DEPARTMENT REFLECTION'!$A$2:$A$20,'DEPARTMENT REFLECTION'!$C$2:$C$20,""),"")</f>
        <v/>
      </c>
    </row>
    <row r="18">
      <c r="A18" s="12" t="inlineStr">
        <is>
          <t>Chow Chee Wai</t>
        </is>
      </c>
      <c r="B18" s="12" t="inlineStr">
        <is>
          <t>10:00–10:45</t>
        </is>
      </c>
      <c r="C18" s="12" t="inlineStr">
        <is>
          <t>Breakout 1</t>
        </is>
      </c>
      <c r="D18" s="12" t="inlineStr">
        <is>
          <t>AI-ding Students' Preparation for Oral Examinations: 6. Using Technology for Real-World Skills</t>
        </is>
      </c>
      <c r="E18" s="12" t="inlineStr">
        <is>
          <t>Ho Jia Xuan Jane</t>
        </is>
      </c>
      <c r="F18" s="12" t="inlineStr">
        <is>
          <t>E101</t>
        </is>
      </c>
      <c r="G18" s="12" t="inlineStr">
        <is>
          <t>11:00–11:45</t>
        </is>
      </c>
      <c r="H18" s="12" t="inlineStr">
        <is>
          <t>Breakout 2</t>
        </is>
      </c>
      <c r="I18" s="12" t="inlineStr">
        <is>
          <t>AIMS vs Gemini: What AI Feedback Reveals About Student Writing (And What It Might Not)</t>
        </is>
      </c>
      <c r="J18" s="12" t="inlineStr">
        <is>
          <t>Irene Kuek &amp; Lin Pei-Chen</t>
        </is>
      </c>
      <c r="K18" s="12" t="inlineStr">
        <is>
          <t>E103</t>
        </is>
      </c>
      <c r="L18" s="13" t="inlineStr"/>
      <c r="M18" s="12">
        <f>IFERROR(XLOOKUP(L18,'DEPARTMENT REFLECTION'!$A$2:$A$20,'DEPARTMENT REFLECTION'!$B$2:$B$20,""),"")</f>
        <v/>
      </c>
      <c r="N18" s="12">
        <f>IFERROR(XLOOKUP(L18,'DEPARTMENT REFLECTION'!$A$2:$A$20,'DEPARTMENT REFLECTION'!$C$2:$C$20,""),"")</f>
        <v/>
      </c>
    </row>
    <row r="19">
      <c r="A19" s="12" t="inlineStr">
        <is>
          <t>Christine Chia Yueh Chin</t>
        </is>
      </c>
      <c r="B19" s="12" t="inlineStr">
        <is>
          <t>10:00–10:45</t>
        </is>
      </c>
      <c r="C19" s="12" t="inlineStr">
        <is>
          <t>Breakout 1</t>
        </is>
      </c>
      <c r="D19" s="12" t="inlineStr">
        <is>
          <t>Dialogic Talk for Thoughtful Thinkers</t>
        </is>
      </c>
      <c r="E19" s="12" t="inlineStr">
        <is>
          <t>Sasha Kaur dhillon</t>
        </is>
      </c>
      <c r="F19" s="12" t="inlineStr">
        <is>
          <t>G301</t>
        </is>
      </c>
      <c r="G19" s="12" t="inlineStr">
        <is>
          <t>11:00–11:45</t>
        </is>
      </c>
      <c r="H19" s="12" t="inlineStr">
        <is>
          <t>Breakout 2</t>
        </is>
      </c>
      <c r="I19" s="12" t="inlineStr">
        <is>
          <t>Cultivating Self-Directedness, Co-Constructing Success</t>
        </is>
      </c>
      <c r="J19" s="12" t="inlineStr">
        <is>
          <t>Anuthama &amp; Esther Wang</t>
        </is>
      </c>
      <c r="K19" s="12" t="inlineStr">
        <is>
          <t>E101</t>
        </is>
      </c>
      <c r="L19" s="13" t="inlineStr"/>
      <c r="M19" s="12">
        <f>IFERROR(XLOOKUP(L19,'DEPARTMENT REFLECTION'!$A$2:$A$20,'DEPARTMENT REFLECTION'!$B$2:$B$20,""),"")</f>
        <v/>
      </c>
      <c r="N19" s="12">
        <f>IFERROR(XLOOKUP(L19,'DEPARTMENT REFLECTION'!$A$2:$A$20,'DEPARTMENT REFLECTION'!$C$2:$C$20,""),"")</f>
        <v/>
      </c>
    </row>
    <row r="20">
      <c r="A20" s="12" t="inlineStr">
        <is>
          <t>Chung Kian Beng</t>
        </is>
      </c>
      <c r="B20" s="12" t="inlineStr">
        <is>
          <t>10:00–10:45</t>
        </is>
      </c>
      <c r="C20" s="12" t="inlineStr">
        <is>
          <t>Breakout 1</t>
        </is>
      </c>
      <c r="D20" s="12" t="inlineStr">
        <is>
          <t>Leveraging on the Student Learning Space (SLS) to Enhance Global Literacy</t>
        </is>
      </c>
      <c r="E20" s="12" t="inlineStr">
        <is>
          <t>Niki Lee</t>
        </is>
      </c>
      <c r="F20" s="12" t="inlineStr">
        <is>
          <t>B105</t>
        </is>
      </c>
      <c r="G20" s="12" t="inlineStr">
        <is>
          <t>11:00–11:45</t>
        </is>
      </c>
      <c r="H20" s="12" t="inlineStr">
        <is>
          <t>Breakout 2</t>
        </is>
      </c>
      <c r="I20" s="12" t="inlineStr">
        <is>
          <t>Fostering Critical Thinking and Communication through Real-World Chemistry Projects</t>
        </is>
      </c>
      <c r="J20" s="12" t="inlineStr">
        <is>
          <t>Veron Lee, Joanne Tan &amp; Joel Chung</t>
        </is>
      </c>
      <c r="K20" s="12" t="inlineStr">
        <is>
          <t>E105</t>
        </is>
      </c>
      <c r="L20" s="13" t="inlineStr"/>
      <c r="M20" s="12">
        <f>IFERROR(XLOOKUP(L20,'DEPARTMENT REFLECTION'!$A$2:$A$20,'DEPARTMENT REFLECTION'!$B$2:$B$20,""),"")</f>
        <v/>
      </c>
      <c r="N20" s="12">
        <f>IFERROR(XLOOKUP(L20,'DEPARTMENT REFLECTION'!$A$2:$A$20,'DEPARTMENT REFLECTION'!$C$2:$C$20,""),"")</f>
        <v/>
      </c>
    </row>
    <row r="21">
      <c r="A21" s="12" t="inlineStr">
        <is>
          <t>Ding Chi Ying Gary</t>
        </is>
      </c>
      <c r="B21" s="12" t="inlineStr">
        <is>
          <t>10:00–10:45</t>
        </is>
      </c>
      <c r="C21" s="12" t="inlineStr">
        <is>
          <t>Breakout 1</t>
        </is>
      </c>
      <c r="D21" s="12" t="inlineStr">
        <is>
          <t>AI and AA: An Attempt at Amalgamation</t>
        </is>
      </c>
      <c r="E21" s="12" t="inlineStr">
        <is>
          <t>Low Kian Seh</t>
        </is>
      </c>
      <c r="F21" s="12" t="inlineStr">
        <is>
          <t>E102</t>
        </is>
      </c>
      <c r="G21" s="12" t="inlineStr">
        <is>
          <t>11:00–11:45</t>
        </is>
      </c>
      <c r="H21" s="12" t="inlineStr">
        <is>
          <t>Breakout 2</t>
        </is>
      </c>
      <c r="I21" s="12" t="inlineStr">
        <is>
          <t>Fostering Critical Thinking and Communication through Real-World Chemistry Projects</t>
        </is>
      </c>
      <c r="J21" s="12" t="inlineStr">
        <is>
          <t>Veron Lee, Joanne Tan &amp; Joel Chung</t>
        </is>
      </c>
      <c r="K21" s="12" t="inlineStr">
        <is>
          <t>E105</t>
        </is>
      </c>
      <c r="L21" s="13" t="inlineStr"/>
      <c r="M21" s="12">
        <f>IFERROR(XLOOKUP(L21,'DEPARTMENT REFLECTION'!$A$2:$A$20,'DEPARTMENT REFLECTION'!$B$2:$B$20,""),"")</f>
        <v/>
      </c>
      <c r="N21" s="12">
        <f>IFERROR(XLOOKUP(L21,'DEPARTMENT REFLECTION'!$A$2:$A$20,'DEPARTMENT REFLECTION'!$C$2:$C$20,""),"")</f>
        <v/>
      </c>
    </row>
    <row r="22">
      <c r="A22" s="12" t="inlineStr">
        <is>
          <t>Elina Bte Abdul Rashid</t>
        </is>
      </c>
      <c r="B22" s="12" t="inlineStr">
        <is>
          <t>10:00–10:45</t>
        </is>
      </c>
      <c r="C22" s="12" t="inlineStr">
        <is>
          <t>Breakout 1</t>
        </is>
      </c>
      <c r="D22" s="12" t="inlineStr">
        <is>
          <t>AI-ding Students' Preparation for Oral Examinations: 6. Using Technology for Real-World Skills</t>
        </is>
      </c>
      <c r="E22" s="12" t="inlineStr">
        <is>
          <t>Ho Jia Xuan Jane</t>
        </is>
      </c>
      <c r="F22" s="12" t="inlineStr">
        <is>
          <t>E101</t>
        </is>
      </c>
      <c r="G22" s="12" t="inlineStr">
        <is>
          <t>11:00–11:45</t>
        </is>
      </c>
      <c r="H22" s="12" t="inlineStr">
        <is>
          <t>Breakout 2</t>
        </is>
      </c>
      <c r="I22" s="12" t="inlineStr">
        <is>
          <t>AIMS vs Gemini: What AI Feedback Reveals About Student Writing (And What It Might Not)</t>
        </is>
      </c>
      <c r="J22" s="12" t="inlineStr">
        <is>
          <t>Irene Kuek &amp; Lin Pei-Chen</t>
        </is>
      </c>
      <c r="K22" s="12" t="inlineStr">
        <is>
          <t>E103</t>
        </is>
      </c>
      <c r="L22" s="13" t="inlineStr"/>
      <c r="M22" s="12">
        <f>IFERROR(XLOOKUP(L22,'DEPARTMENT REFLECTION'!$A$2:$A$20,'DEPARTMENT REFLECTION'!$B$2:$B$20,""),"")</f>
        <v/>
      </c>
      <c r="N22" s="12">
        <f>IFERROR(XLOOKUP(L22,'DEPARTMENT REFLECTION'!$A$2:$A$20,'DEPARTMENT REFLECTION'!$C$2:$C$20,""),"")</f>
        <v/>
      </c>
    </row>
    <row r="23">
      <c r="A23" s="12" t="inlineStr">
        <is>
          <t>Fung Chong Lin</t>
        </is>
      </c>
      <c r="B23" s="12" t="inlineStr">
        <is>
          <t>10:00–10:45</t>
        </is>
      </c>
      <c r="C23" s="12" t="inlineStr">
        <is>
          <t>Breakout 1</t>
        </is>
      </c>
      <c r="D23" s="12" t="inlineStr">
        <is>
          <t>AI in Mathematics: See the Thinking, Shape the Learning, Spark Joy</t>
        </is>
      </c>
      <c r="E23" s="12" t="inlineStr">
        <is>
          <t>Ng Lay Ling</t>
        </is>
      </c>
      <c r="F23" s="12" t="inlineStr">
        <is>
          <t>B109</t>
        </is>
      </c>
      <c r="G23" s="12" t="inlineStr">
        <is>
          <t>11:00–11:45</t>
        </is>
      </c>
      <c r="H23" s="12" t="inlineStr">
        <is>
          <t>Breakout 2</t>
        </is>
      </c>
      <c r="I23" s="12" t="inlineStr">
        <is>
          <t>AIMS vs Gemini: What AI Feedback Reveals About Student Writing (And What It Might Not)</t>
        </is>
      </c>
      <c r="J23" s="12" t="inlineStr">
        <is>
          <t>Irene Kuek &amp; Lin Pei-Chen</t>
        </is>
      </c>
      <c r="K23" s="12" t="inlineStr">
        <is>
          <t>E103</t>
        </is>
      </c>
      <c r="L23" s="13" t="inlineStr"/>
      <c r="M23" s="12">
        <f>IFERROR(XLOOKUP(L23,'DEPARTMENT REFLECTION'!$A$2:$A$20,'DEPARTMENT REFLECTION'!$B$2:$B$20,""),"")</f>
        <v/>
      </c>
      <c r="N23" s="12">
        <f>IFERROR(XLOOKUP(L23,'DEPARTMENT REFLECTION'!$A$2:$A$20,'DEPARTMENT REFLECTION'!$C$2:$C$20,""),"")</f>
        <v/>
      </c>
    </row>
    <row r="24">
      <c r="A24" s="12" t="inlineStr">
        <is>
          <t>Goh Chengwei Marcus</t>
        </is>
      </c>
      <c r="B24" s="12" t="inlineStr">
        <is>
          <t>10:00–10:45</t>
        </is>
      </c>
      <c r="C24" s="12" t="inlineStr">
        <is>
          <t>Breakout 1</t>
        </is>
      </c>
      <c r="D24" s="12" t="inlineStr">
        <is>
          <t>Leveraging on the Student Learning Space (SLS) to Enhance Global Literacy</t>
        </is>
      </c>
      <c r="E24" s="12" t="inlineStr">
        <is>
          <t>Niki Lee</t>
        </is>
      </c>
      <c r="F24" s="12" t="inlineStr">
        <is>
          <t>B105</t>
        </is>
      </c>
      <c r="G24" s="12" t="inlineStr">
        <is>
          <t>11:00–11:45</t>
        </is>
      </c>
      <c r="H24" s="12" t="inlineStr">
        <is>
          <t>Breakout 2</t>
        </is>
      </c>
      <c r="I24" s="12" t="inlineStr">
        <is>
          <t>Fostering Critical Thinking and Communication through Real-World Chemistry Projects</t>
        </is>
      </c>
      <c r="J24" s="12" t="inlineStr">
        <is>
          <t>Veron Lee, Joanne Tan &amp; Joel Chung</t>
        </is>
      </c>
      <c r="K24" s="12" t="inlineStr">
        <is>
          <t>E105</t>
        </is>
      </c>
      <c r="L24" s="13" t="inlineStr"/>
      <c r="M24" s="12">
        <f>IFERROR(XLOOKUP(L24,'DEPARTMENT REFLECTION'!$A$2:$A$20,'DEPARTMENT REFLECTION'!$B$2:$B$20,""),"")</f>
        <v/>
      </c>
      <c r="N24" s="12">
        <f>IFERROR(XLOOKUP(L24,'DEPARTMENT REFLECTION'!$A$2:$A$20,'DEPARTMENT REFLECTION'!$C$2:$C$20,""),"")</f>
        <v/>
      </c>
    </row>
    <row r="25">
      <c r="A25" s="12" t="inlineStr">
        <is>
          <t>Goh Ching Tard</t>
        </is>
      </c>
      <c r="B25" s="12" t="inlineStr">
        <is>
          <t>10:00–10:45</t>
        </is>
      </c>
      <c r="C25" s="12" t="inlineStr">
        <is>
          <t>Breakout 1</t>
        </is>
      </c>
      <c r="D25" s="12" t="inlineStr">
        <is>
          <t>AI in Mathematics: See the Thinking, Shape the Learning, Spark Joy</t>
        </is>
      </c>
      <c r="E25" s="12" t="inlineStr">
        <is>
          <t>Ng Lay Ling</t>
        </is>
      </c>
      <c r="F25" s="12" t="inlineStr">
        <is>
          <t>B109</t>
        </is>
      </c>
      <c r="G25" s="12" t="inlineStr">
        <is>
          <t>11:00–11:45</t>
        </is>
      </c>
      <c r="H25" s="12" t="inlineStr">
        <is>
          <t>Breakout 2</t>
        </is>
      </c>
      <c r="I25" s="12" t="inlineStr">
        <is>
          <t>AIMS vs Gemini: What AI Feedback Reveals About Student Writing (And What It Might Not)</t>
        </is>
      </c>
      <c r="J25" s="12" t="inlineStr">
        <is>
          <t>Irene Kuek &amp; Lin Pei-Chen</t>
        </is>
      </c>
      <c r="K25" s="12" t="inlineStr">
        <is>
          <t>E103</t>
        </is>
      </c>
      <c r="L25" s="13" t="inlineStr"/>
      <c r="M25" s="12">
        <f>IFERROR(XLOOKUP(L25,'DEPARTMENT REFLECTION'!$A$2:$A$20,'DEPARTMENT REFLECTION'!$B$2:$B$20,""),"")</f>
        <v/>
      </c>
      <c r="N25" s="12">
        <f>IFERROR(XLOOKUP(L25,'DEPARTMENT REFLECTION'!$A$2:$A$20,'DEPARTMENT REFLECTION'!$C$2:$C$20,""),"")</f>
        <v/>
      </c>
    </row>
    <row r="26">
      <c r="A26" s="12" t="inlineStr">
        <is>
          <t>Han Song Guang</t>
        </is>
      </c>
      <c r="B26" s="12" t="inlineStr">
        <is>
          <t>10:00–10:45</t>
        </is>
      </c>
      <c r="C26" s="12" t="inlineStr">
        <is>
          <t>Breakout 1</t>
        </is>
      </c>
      <c r="D26" s="12" t="inlineStr">
        <is>
          <t>AI-ding Students' Preparation for Oral Examinations: 6. Using Technology for Real-World Skills</t>
        </is>
      </c>
      <c r="E26" s="12" t="inlineStr">
        <is>
          <t>Ho Jia Xuan Jane</t>
        </is>
      </c>
      <c r="F26" s="12" t="inlineStr">
        <is>
          <t>E101</t>
        </is>
      </c>
      <c r="G26" s="12" t="inlineStr">
        <is>
          <t>11:00–11:45</t>
        </is>
      </c>
      <c r="H26" s="12" t="inlineStr">
        <is>
          <t>Breakout 2</t>
        </is>
      </c>
      <c r="I26" s="12" t="inlineStr">
        <is>
          <t>Redesigning Mathematics Learning: Our ILP Journey and Pedagogical Shifts</t>
        </is>
      </c>
      <c r="J26" s="12" t="inlineStr">
        <is>
          <t>Kelvin Ng &amp; Leonard Lau</t>
        </is>
      </c>
      <c r="K26" s="12" t="inlineStr">
        <is>
          <t>E102</t>
        </is>
      </c>
      <c r="L26" s="13" t="inlineStr"/>
      <c r="M26" s="12">
        <f>IFERROR(XLOOKUP(L26,'DEPARTMENT REFLECTION'!$A$2:$A$20,'DEPARTMENT REFLECTION'!$B$2:$B$20,""),"")</f>
        <v/>
      </c>
      <c r="N26" s="12">
        <f>IFERROR(XLOOKUP(L26,'DEPARTMENT REFLECTION'!$A$2:$A$20,'DEPARTMENT REFLECTION'!$C$2:$C$20,""),"")</f>
        <v/>
      </c>
    </row>
    <row r="27">
      <c r="A27" s="12" t="inlineStr">
        <is>
          <t>Hasim Bin Hasan</t>
        </is>
      </c>
      <c r="B27" s="12" t="inlineStr">
        <is>
          <t>10:00–10:45</t>
        </is>
      </c>
      <c r="C27" s="12" t="inlineStr">
        <is>
          <t>Breakout 1</t>
        </is>
      </c>
      <c r="D27" s="12" t="inlineStr">
        <is>
          <t>Leveraging on the Student Learning Space (SLS) to Enhance Global Literacy</t>
        </is>
      </c>
      <c r="E27" s="12" t="inlineStr">
        <is>
          <t>Niki Lee</t>
        </is>
      </c>
      <c r="F27" s="12" t="inlineStr">
        <is>
          <t>B105</t>
        </is>
      </c>
      <c r="G27" s="12" t="inlineStr">
        <is>
          <t>11:00–11:45</t>
        </is>
      </c>
      <c r="H27" s="12" t="inlineStr">
        <is>
          <t>Breakout 2</t>
        </is>
      </c>
      <c r="I27" s="12" t="inlineStr">
        <is>
          <t>AIMS vs Gemini: What AI Feedback Reveals About Student Writing (And What It Might Not)</t>
        </is>
      </c>
      <c r="J27" s="12" t="inlineStr">
        <is>
          <t>Irene Kuek &amp; Lin Pei-Chen</t>
        </is>
      </c>
      <c r="K27" s="12" t="inlineStr">
        <is>
          <t>E103</t>
        </is>
      </c>
      <c r="L27" s="13" t="inlineStr"/>
      <c r="M27" s="12">
        <f>IFERROR(XLOOKUP(L27,'DEPARTMENT REFLECTION'!$A$2:$A$20,'DEPARTMENT REFLECTION'!$B$2:$B$20,""),"")</f>
        <v/>
      </c>
      <c r="N27" s="12">
        <f>IFERROR(XLOOKUP(L27,'DEPARTMENT REFLECTION'!$A$2:$A$20,'DEPARTMENT REFLECTION'!$C$2:$C$20,""),"")</f>
        <v/>
      </c>
    </row>
    <row r="28">
      <c r="A28" s="12" t="inlineStr">
        <is>
          <t>Haslinda Bte Ali</t>
        </is>
      </c>
      <c r="B28" s="12" t="inlineStr">
        <is>
          <t>10:00–10:45</t>
        </is>
      </c>
      <c r="C28" s="12" t="inlineStr">
        <is>
          <t>Breakout 1</t>
        </is>
      </c>
      <c r="D28" s="12" t="inlineStr">
        <is>
          <t>AI-ding Students' Preparation for Oral Examinations: 6. Using Technology for Real-World Skills</t>
        </is>
      </c>
      <c r="E28" s="12" t="inlineStr">
        <is>
          <t>Ho Jia Xuan Jane</t>
        </is>
      </c>
      <c r="F28" s="12" t="inlineStr">
        <is>
          <t>E101</t>
        </is>
      </c>
      <c r="G28" s="12" t="inlineStr">
        <is>
          <t>11:00–11:45</t>
        </is>
      </c>
      <c r="H28" s="12" t="inlineStr">
        <is>
          <t>Breakout 2</t>
        </is>
      </c>
      <c r="I28" s="12" t="inlineStr">
        <is>
          <t>AI as Feedback, Not Fallback: Developing Critical Thinking Using AI</t>
        </is>
      </c>
      <c r="J28" s="12" t="inlineStr">
        <is>
          <t>Chen Ying &amp; Brendon Chee</t>
        </is>
      </c>
      <c r="K28" s="12" t="inlineStr">
        <is>
          <t>B105</t>
        </is>
      </c>
      <c r="L28" s="13" t="inlineStr"/>
      <c r="M28" s="12">
        <f>IFERROR(XLOOKUP(L28,'DEPARTMENT REFLECTION'!$A$2:$A$20,'DEPARTMENT REFLECTION'!$B$2:$B$20,""),"")</f>
        <v/>
      </c>
      <c r="N28" s="12">
        <f>IFERROR(XLOOKUP(L28,'DEPARTMENT REFLECTION'!$A$2:$A$20,'DEPARTMENT REFLECTION'!$C$2:$C$20,""),"")</f>
        <v/>
      </c>
    </row>
    <row r="29">
      <c r="A29" s="12" t="inlineStr">
        <is>
          <t>Ho Jia Xuan Jane</t>
        </is>
      </c>
      <c r="B29" s="12" t="inlineStr">
        <is>
          <t>10:00–10:45</t>
        </is>
      </c>
      <c r="C29" s="12" t="inlineStr">
        <is>
          <t>Breakout 1</t>
        </is>
      </c>
      <c r="D29" s="12" t="inlineStr">
        <is>
          <t>AI-ding Students' Preparation for Oral Examinations: 6. Using Technology for Real-World Skills</t>
        </is>
      </c>
      <c r="E29" s="12" t="inlineStr">
        <is>
          <t>Ho Jia Xuan Jane</t>
        </is>
      </c>
      <c r="F29" s="12" t="inlineStr">
        <is>
          <t>E101</t>
        </is>
      </c>
      <c r="G29" s="12" t="inlineStr">
        <is>
          <t>11:00–11:45</t>
        </is>
      </c>
      <c r="H29" s="12" t="inlineStr">
        <is>
          <t>Breakout 2</t>
        </is>
      </c>
      <c r="I29" s="12" t="inlineStr">
        <is>
          <t>AIMS vs Gemini: What AI Feedback Reveals About Student Writing (And What It Might Not)</t>
        </is>
      </c>
      <c r="J29" s="12" t="inlineStr">
        <is>
          <t>Irene Kuek &amp; Lin Pei-Chen</t>
        </is>
      </c>
      <c r="K29" s="12" t="inlineStr">
        <is>
          <t>E103</t>
        </is>
      </c>
      <c r="L29" s="13" t="inlineStr"/>
      <c r="M29" s="12">
        <f>IFERROR(XLOOKUP(L29,'DEPARTMENT REFLECTION'!$A$2:$A$20,'DEPARTMENT REFLECTION'!$B$2:$B$20,""),"")</f>
        <v/>
      </c>
      <c r="N29" s="12">
        <f>IFERROR(XLOOKUP(L29,'DEPARTMENT REFLECTION'!$A$2:$A$20,'DEPARTMENT REFLECTION'!$C$2:$C$20,""),"")</f>
        <v/>
      </c>
    </row>
    <row r="30">
      <c r="A30" s="12" t="inlineStr">
        <is>
          <t>Hsi Han Yin</t>
        </is>
      </c>
      <c r="B30" s="12" t="inlineStr">
        <is>
          <t>10:00–10:45</t>
        </is>
      </c>
      <c r="C30" s="12" t="inlineStr">
        <is>
          <t>Breakout 1</t>
        </is>
      </c>
      <c r="D30" s="12" t="inlineStr">
        <is>
          <t>Dialogic Talk for Thoughtful Thinkers</t>
        </is>
      </c>
      <c r="E30" s="12" t="inlineStr">
        <is>
          <t>Sasha Kaur dhillon</t>
        </is>
      </c>
      <c r="F30" s="12" t="inlineStr">
        <is>
          <t>G301</t>
        </is>
      </c>
      <c r="G30" s="12" t="inlineStr">
        <is>
          <t>11:00–11:45</t>
        </is>
      </c>
      <c r="H30" s="12" t="inlineStr">
        <is>
          <t>Breakout 2</t>
        </is>
      </c>
      <c r="I30" s="12" t="inlineStr">
        <is>
          <t>Redesigning Mathematics Learning: Our ILP Journey and Pedagogical Shifts</t>
        </is>
      </c>
      <c r="J30" s="12" t="inlineStr">
        <is>
          <t>Kelvin Ng &amp; Leonard Lau</t>
        </is>
      </c>
      <c r="K30" s="12" t="inlineStr">
        <is>
          <t>E102</t>
        </is>
      </c>
      <c r="L30" s="13" t="inlineStr"/>
      <c r="M30" s="12">
        <f>IFERROR(XLOOKUP(L30,'DEPARTMENT REFLECTION'!$A$2:$A$20,'DEPARTMENT REFLECTION'!$B$2:$B$20,""),"")</f>
        <v/>
      </c>
      <c r="N30" s="12">
        <f>IFERROR(XLOOKUP(L30,'DEPARTMENT REFLECTION'!$A$2:$A$20,'DEPARTMENT REFLECTION'!$C$2:$C$20,""),"")</f>
        <v/>
      </c>
    </row>
    <row r="31">
      <c r="A31" s="12" t="inlineStr">
        <is>
          <t>Irwan Wijaya Zainal</t>
        </is>
      </c>
      <c r="B31" s="12" t="inlineStr">
        <is>
          <t>10:00–10:45</t>
        </is>
      </c>
      <c r="C31" s="12" t="inlineStr">
        <is>
          <t>Breakout 1</t>
        </is>
      </c>
      <c r="D31" s="12" t="inlineStr">
        <is>
          <t>AI in Mathematics: See the Thinking, Shape the Learning, Spark Joy</t>
        </is>
      </c>
      <c r="E31" s="12" t="inlineStr">
        <is>
          <t>Ng Lay Ling</t>
        </is>
      </c>
      <c r="F31" s="12" t="inlineStr">
        <is>
          <t>B109</t>
        </is>
      </c>
      <c r="G31" s="12" t="inlineStr">
        <is>
          <t>11:00–11:45</t>
        </is>
      </c>
      <c r="H31" s="12" t="inlineStr">
        <is>
          <t>Breakout 2</t>
        </is>
      </c>
      <c r="I31" s="12" t="inlineStr">
        <is>
          <t>Evidence-Driven Decision-Making: Using Student Data to Complement Teacher Observations</t>
        </is>
      </c>
      <c r="J31" s="12" t="inlineStr">
        <is>
          <t>Christabelle Soh</t>
        </is>
      </c>
      <c r="K31" s="12" t="inlineStr">
        <is>
          <t>B106</t>
        </is>
      </c>
      <c r="L31" s="13" t="inlineStr"/>
      <c r="M31" s="12">
        <f>IFERROR(XLOOKUP(L31,'DEPARTMENT REFLECTION'!$A$2:$A$20,'DEPARTMENT REFLECTION'!$B$2:$B$20,""),"")</f>
        <v/>
      </c>
      <c r="N31" s="12">
        <f>IFERROR(XLOOKUP(L31,'DEPARTMENT REFLECTION'!$A$2:$A$20,'DEPARTMENT REFLECTION'!$C$2:$C$20,""),"")</f>
        <v/>
      </c>
    </row>
    <row r="32">
      <c r="A32" s="12" t="inlineStr">
        <is>
          <t>Ivy Liew Wei Xin</t>
        </is>
      </c>
      <c r="B32" s="12" t="inlineStr">
        <is>
          <t>10:00–10:45</t>
        </is>
      </c>
      <c r="C32" s="12" t="inlineStr">
        <is>
          <t>Breakout 1</t>
        </is>
      </c>
      <c r="D32" s="12" t="inlineStr">
        <is>
          <t>Fostering Student Passion in Project Work Using the From Near to Far Framework</t>
        </is>
      </c>
      <c r="E32" s="12" t="inlineStr">
        <is>
          <t>Mariya Ahmad</t>
        </is>
      </c>
      <c r="F32" s="12" t="inlineStr">
        <is>
          <t>E104</t>
        </is>
      </c>
      <c r="G32" s="12" t="inlineStr">
        <is>
          <t>11:00–11:45</t>
        </is>
      </c>
      <c r="H32" s="12" t="inlineStr">
        <is>
          <t>Breakout 2</t>
        </is>
      </c>
      <c r="I32" s="12" t="inlineStr">
        <is>
          <t>Cultivating Self-Directedness, Co-Constructing Success</t>
        </is>
      </c>
      <c r="J32" s="12" t="inlineStr">
        <is>
          <t>Anuthama &amp; Esther Wang</t>
        </is>
      </c>
      <c r="K32" s="12" t="inlineStr">
        <is>
          <t>E101</t>
        </is>
      </c>
      <c r="L32" s="13" t="inlineStr"/>
      <c r="M32" s="12">
        <f>IFERROR(XLOOKUP(L32,'DEPARTMENT REFLECTION'!$A$2:$A$20,'DEPARTMENT REFLECTION'!$B$2:$B$20,""),"")</f>
        <v/>
      </c>
      <c r="N32" s="12">
        <f>IFERROR(XLOOKUP(L32,'DEPARTMENT REFLECTION'!$A$2:$A$20,'DEPARTMENT REFLECTION'!$C$2:$C$20,""),"")</f>
        <v/>
      </c>
    </row>
    <row r="33">
      <c r="A33" s="12" t="inlineStr">
        <is>
          <t>Jismyl Lam</t>
        </is>
      </c>
      <c r="B33" s="12" t="inlineStr">
        <is>
          <t>10:00–10:45</t>
        </is>
      </c>
      <c r="C33" s="12" t="inlineStr">
        <is>
          <t>Breakout 1</t>
        </is>
      </c>
      <c r="D33" s="12" t="inlineStr"/>
      <c r="E33" s="12" t="inlineStr"/>
      <c r="F33" s="12" t="inlineStr"/>
      <c r="G33" s="12" t="inlineStr">
        <is>
          <t>11:00–11:45</t>
        </is>
      </c>
      <c r="H33" s="12" t="inlineStr">
        <is>
          <t>Breakout 2</t>
        </is>
      </c>
      <c r="I33" s="12" t="inlineStr">
        <is>
          <t>Empowering Students to Understand Concepts, Not Just Content</t>
        </is>
      </c>
      <c r="J33" s="12" t="inlineStr">
        <is>
          <t>Trevor Tay &amp; Nuryani Suneh</t>
        </is>
      </c>
      <c r="K33" s="12" t="inlineStr">
        <is>
          <t>B110</t>
        </is>
      </c>
      <c r="L33" s="13" t="inlineStr"/>
      <c r="M33" s="12">
        <f>IFERROR(XLOOKUP(L33,'DEPARTMENT REFLECTION'!$A$2:$A$20,'DEPARTMENT REFLECTION'!$B$2:$B$20,""),"")</f>
        <v/>
      </c>
      <c r="N33" s="12">
        <f>IFERROR(XLOOKUP(L33,'DEPARTMENT REFLECTION'!$A$2:$A$20,'DEPARTMENT REFLECTION'!$C$2:$C$20,""),"")</f>
        <v/>
      </c>
    </row>
    <row r="34">
      <c r="A34" s="12" t="inlineStr">
        <is>
          <t>Joash Lee Kah Fai</t>
        </is>
      </c>
      <c r="B34" s="12" t="inlineStr">
        <is>
          <t>10:00–10:45</t>
        </is>
      </c>
      <c r="C34" s="12" t="inlineStr">
        <is>
          <t>Breakout 1</t>
        </is>
      </c>
      <c r="D34" s="12" t="inlineStr">
        <is>
          <t>Dialogic Talk for Thoughtful Thinkers</t>
        </is>
      </c>
      <c r="E34" s="12" t="inlineStr">
        <is>
          <t>Sasha Kaur dhillon</t>
        </is>
      </c>
      <c r="F34" s="12" t="inlineStr">
        <is>
          <t>G301</t>
        </is>
      </c>
      <c r="G34" s="12" t="inlineStr">
        <is>
          <t>11:00–11:45</t>
        </is>
      </c>
      <c r="H34" s="12" t="inlineStr">
        <is>
          <t>Breakout 2</t>
        </is>
      </c>
      <c r="I34" s="12" t="inlineStr">
        <is>
          <t>Experimenting with a Pedagogy of Discomfort in the GP Classroom</t>
        </is>
      </c>
      <c r="J34" s="12" t="inlineStr">
        <is>
          <t>Maryam Mohamed Mokhtar</t>
        </is>
      </c>
      <c r="K34" s="12" t="inlineStr">
        <is>
          <t>B109</t>
        </is>
      </c>
      <c r="L34" s="13" t="inlineStr"/>
      <c r="M34" s="12">
        <f>IFERROR(XLOOKUP(L34,'DEPARTMENT REFLECTION'!$A$2:$A$20,'DEPARTMENT REFLECTION'!$B$2:$B$20,""),"")</f>
        <v/>
      </c>
      <c r="N34" s="12">
        <f>IFERROR(XLOOKUP(L34,'DEPARTMENT REFLECTION'!$A$2:$A$20,'DEPARTMENT REFLECTION'!$C$2:$C$20,""),"")</f>
        <v/>
      </c>
    </row>
    <row r="35">
      <c r="A35" s="12" t="inlineStr">
        <is>
          <t>K. Veerapandiyan</t>
        </is>
      </c>
      <c r="B35" s="12" t="inlineStr">
        <is>
          <t>10:00–10:45</t>
        </is>
      </c>
      <c r="C35" s="12" t="inlineStr">
        <is>
          <t>Breakout 1</t>
        </is>
      </c>
      <c r="D35" s="12" t="inlineStr">
        <is>
          <t>Fostering Student Passion in Project Work Using the From Near to Far Framework</t>
        </is>
      </c>
      <c r="E35" s="12" t="inlineStr">
        <is>
          <t>Mariya Ahmad</t>
        </is>
      </c>
      <c r="F35" s="12" t="inlineStr">
        <is>
          <t>E104</t>
        </is>
      </c>
      <c r="G35" s="12" t="inlineStr">
        <is>
          <t>11:00–11:45</t>
        </is>
      </c>
      <c r="H35" s="12" t="inlineStr">
        <is>
          <t>Breakout 2</t>
        </is>
      </c>
      <c r="I35" s="12" t="inlineStr">
        <is>
          <t>Empowering Students to Understand Concepts, Not Just Content</t>
        </is>
      </c>
      <c r="J35" s="12" t="inlineStr">
        <is>
          <t>Trevor Tay &amp; Nuryani Suneh</t>
        </is>
      </c>
      <c r="K35" s="12" t="inlineStr">
        <is>
          <t>B110</t>
        </is>
      </c>
      <c r="L35" s="13" t="inlineStr"/>
      <c r="M35" s="12">
        <f>IFERROR(XLOOKUP(L35,'DEPARTMENT REFLECTION'!$A$2:$A$20,'DEPARTMENT REFLECTION'!$B$2:$B$20,""),"")</f>
        <v/>
      </c>
      <c r="N35" s="12">
        <f>IFERROR(XLOOKUP(L35,'DEPARTMENT REFLECTION'!$A$2:$A$20,'DEPARTMENT REFLECTION'!$C$2:$C$20,""),"")</f>
        <v/>
      </c>
    </row>
    <row r="36">
      <c r="A36" s="12" t="inlineStr">
        <is>
          <t>Kat Kar Hwee</t>
        </is>
      </c>
      <c r="B36" s="12" t="inlineStr">
        <is>
          <t>10:00–10:45</t>
        </is>
      </c>
      <c r="C36" s="12" t="inlineStr">
        <is>
          <t>Breakout 1</t>
        </is>
      </c>
      <c r="D36" s="12" t="inlineStr">
        <is>
          <t>Multimodal Learning for Multi-Faceted Development of e21CC Skills</t>
        </is>
      </c>
      <c r="E36" s="12" t="inlineStr">
        <is>
          <t>Florence Ang &amp; Caroline Sng</t>
        </is>
      </c>
      <c r="F36" s="12" t="inlineStr">
        <is>
          <t>B106</t>
        </is>
      </c>
      <c r="G36" s="12" t="inlineStr">
        <is>
          <t>11:00–11:45</t>
        </is>
      </c>
      <c r="H36" s="12" t="inlineStr">
        <is>
          <t>Breakout 2</t>
        </is>
      </c>
      <c r="I36" s="12" t="inlineStr">
        <is>
          <t>Evidence-Driven Decision-Making: Using Student Data to Complement Teacher Observations</t>
        </is>
      </c>
      <c r="J36" s="12" t="inlineStr">
        <is>
          <t>Christabelle Soh</t>
        </is>
      </c>
      <c r="K36" s="12" t="inlineStr">
        <is>
          <t>B106</t>
        </is>
      </c>
      <c r="L36" s="13" t="inlineStr"/>
      <c r="M36" s="12">
        <f>IFERROR(XLOOKUP(L36,'DEPARTMENT REFLECTION'!$A$2:$A$20,'DEPARTMENT REFLECTION'!$B$2:$B$20,""),"")</f>
        <v/>
      </c>
      <c r="N36" s="12">
        <f>IFERROR(XLOOKUP(L36,'DEPARTMENT REFLECTION'!$A$2:$A$20,'DEPARTMENT REFLECTION'!$C$2:$C$20,""),"")</f>
        <v/>
      </c>
    </row>
    <row r="37">
      <c r="A37" s="12" t="inlineStr">
        <is>
          <t>Khairul Anwar Bin Ali</t>
        </is>
      </c>
      <c r="B37" s="12" t="inlineStr">
        <is>
          <t>10:00–10:45</t>
        </is>
      </c>
      <c r="C37" s="12" t="inlineStr">
        <is>
          <t>Breakout 1</t>
        </is>
      </c>
      <c r="D37" s="12" t="inlineStr">
        <is>
          <t>Multimodal Learning for Multi-Faceted Development of e21CC Skills</t>
        </is>
      </c>
      <c r="E37" s="12" t="inlineStr">
        <is>
          <t>Florence Ang &amp; Caroline Sng</t>
        </is>
      </c>
      <c r="F37" s="12" t="inlineStr">
        <is>
          <t>B106</t>
        </is>
      </c>
      <c r="G37" s="12" t="inlineStr">
        <is>
          <t>11:00–11:45</t>
        </is>
      </c>
      <c r="H37" s="12" t="inlineStr">
        <is>
          <t>Breakout 2</t>
        </is>
      </c>
      <c r="I37" s="12" t="inlineStr">
        <is>
          <t>Use of Brisk Teaching: Practical Strategies to Develop Metacognition and Adaptive Thinking through Form</t>
        </is>
      </c>
      <c r="J37" s="12" t="inlineStr">
        <is>
          <t>Alan Varella &amp; Cyrene Tan</t>
        </is>
      </c>
      <c r="K37" s="12" t="inlineStr">
        <is>
          <t>E104</t>
        </is>
      </c>
      <c r="L37" s="13" t="inlineStr"/>
      <c r="M37" s="12">
        <f>IFERROR(XLOOKUP(L37,'DEPARTMENT REFLECTION'!$A$2:$A$20,'DEPARTMENT REFLECTION'!$B$2:$B$20,""),"")</f>
        <v/>
      </c>
      <c r="N37" s="12">
        <f>IFERROR(XLOOKUP(L37,'DEPARTMENT REFLECTION'!$A$2:$A$20,'DEPARTMENT REFLECTION'!$C$2:$C$20,""),"")</f>
        <v/>
      </c>
    </row>
    <row r="38">
      <c r="A38" s="12" t="inlineStr">
        <is>
          <t>Koh Rui Yang (Xu Ruiyang)</t>
        </is>
      </c>
      <c r="B38" s="12" t="inlineStr">
        <is>
          <t>10:00–10:45</t>
        </is>
      </c>
      <c r="C38" s="12" t="inlineStr">
        <is>
          <t>Breakout 1</t>
        </is>
      </c>
      <c r="D38" s="12" t="inlineStr">
        <is>
          <t>Dialogic Talk for Thoughtful Thinkers</t>
        </is>
      </c>
      <c r="E38" s="12" t="inlineStr">
        <is>
          <t>Sasha Kaur dhillon</t>
        </is>
      </c>
      <c r="F38" s="12" t="inlineStr">
        <is>
          <t>G301</t>
        </is>
      </c>
      <c r="G38" s="12" t="inlineStr">
        <is>
          <t>11:00–11:45</t>
        </is>
      </c>
      <c r="H38" s="12" t="inlineStr">
        <is>
          <t>Breakout 2</t>
        </is>
      </c>
      <c r="I38" s="12" t="inlineStr">
        <is>
          <t>Experimenting with a Pedagogy of Discomfort in the GP Classroom</t>
        </is>
      </c>
      <c r="J38" s="12" t="inlineStr">
        <is>
          <t>Maryam Mohamed Mokhtar</t>
        </is>
      </c>
      <c r="K38" s="12" t="inlineStr">
        <is>
          <t>B109</t>
        </is>
      </c>
      <c r="L38" s="13" t="inlineStr"/>
      <c r="M38" s="12">
        <f>IFERROR(XLOOKUP(L38,'DEPARTMENT REFLECTION'!$A$2:$A$20,'DEPARTMENT REFLECTION'!$B$2:$B$20,""),"")</f>
        <v/>
      </c>
      <c r="N38" s="12">
        <f>IFERROR(XLOOKUP(L38,'DEPARTMENT REFLECTION'!$A$2:$A$20,'DEPARTMENT REFLECTION'!$C$2:$C$20,""),"")</f>
        <v/>
      </c>
    </row>
    <row r="39">
      <c r="A39" s="12" t="inlineStr">
        <is>
          <t>Kok Hui Ching</t>
        </is>
      </c>
      <c r="B39" s="12" t="inlineStr">
        <is>
          <t>10:00–10:45</t>
        </is>
      </c>
      <c r="C39" s="12" t="inlineStr">
        <is>
          <t>Breakout 1</t>
        </is>
      </c>
      <c r="D39" s="12" t="inlineStr">
        <is>
          <t>Multimodal Learning for Multi-Faceted Development of e21CC Skills</t>
        </is>
      </c>
      <c r="E39" s="12" t="inlineStr">
        <is>
          <t>Florence Ang &amp; Caroline Sng</t>
        </is>
      </c>
      <c r="F39" s="12" t="inlineStr">
        <is>
          <t>B106</t>
        </is>
      </c>
      <c r="G39" s="12" t="inlineStr">
        <is>
          <t>11:00–11:45</t>
        </is>
      </c>
      <c r="H39" s="12" t="inlineStr">
        <is>
          <t>Breakout 2</t>
        </is>
      </c>
      <c r="I39" s="12" t="inlineStr">
        <is>
          <t>Cultivating Self-Directedness, Co-Constructing Success</t>
        </is>
      </c>
      <c r="J39" s="12" t="inlineStr">
        <is>
          <t>Anuthama &amp; Esther Wang</t>
        </is>
      </c>
      <c r="K39" s="12" t="inlineStr">
        <is>
          <t>E101</t>
        </is>
      </c>
      <c r="L39" s="13" t="inlineStr"/>
      <c r="M39" s="12">
        <f>IFERROR(XLOOKUP(L39,'DEPARTMENT REFLECTION'!$A$2:$A$20,'DEPARTMENT REFLECTION'!$B$2:$B$20,""),"")</f>
        <v/>
      </c>
      <c r="N39" s="12">
        <f>IFERROR(XLOOKUP(L39,'DEPARTMENT REFLECTION'!$A$2:$A$20,'DEPARTMENT REFLECTION'!$C$2:$C$20,""),"")</f>
        <v/>
      </c>
    </row>
    <row r="40">
      <c r="A40" s="12" t="inlineStr">
        <is>
          <t>Kua Jing Han</t>
        </is>
      </c>
      <c r="B40" s="12" t="inlineStr">
        <is>
          <t>10:00–10:45</t>
        </is>
      </c>
      <c r="C40" s="12" t="inlineStr">
        <is>
          <t>Breakout 1</t>
        </is>
      </c>
      <c r="D40" s="12" t="inlineStr">
        <is>
          <t>AI in Mathematics: See the Thinking, Shape the Learning, Spark Joy</t>
        </is>
      </c>
      <c r="E40" s="12" t="inlineStr">
        <is>
          <t>Ng Lay Ling</t>
        </is>
      </c>
      <c r="F40" s="12" t="inlineStr">
        <is>
          <t>B109</t>
        </is>
      </c>
      <c r="G40" s="12" t="inlineStr">
        <is>
          <t>11:00–11:45</t>
        </is>
      </c>
      <c r="H40" s="12" t="inlineStr">
        <is>
          <t>Breakout 2</t>
        </is>
      </c>
      <c r="I40" s="12" t="inlineStr">
        <is>
          <t>AI as Feedback, Not Fallback: Developing Critical Thinking Using AI</t>
        </is>
      </c>
      <c r="J40" s="12" t="inlineStr">
        <is>
          <t>Chen Ying &amp; Brendon Chee</t>
        </is>
      </c>
      <c r="K40" s="12" t="inlineStr">
        <is>
          <t>B105</t>
        </is>
      </c>
      <c r="L40" s="13" t="inlineStr"/>
      <c r="M40" s="12">
        <f>IFERROR(XLOOKUP(L40,'DEPARTMENT REFLECTION'!$A$2:$A$20,'DEPARTMENT REFLECTION'!$B$2:$B$20,""),"")</f>
        <v/>
      </c>
      <c r="N40" s="12">
        <f>IFERROR(XLOOKUP(L40,'DEPARTMENT REFLECTION'!$A$2:$A$20,'DEPARTMENT REFLECTION'!$C$2:$C$20,""),"")</f>
        <v/>
      </c>
    </row>
    <row r="41">
      <c r="A41" s="12" t="inlineStr">
        <is>
          <t>Kwek Ee Hui, Irene</t>
        </is>
      </c>
      <c r="B41" s="12" t="inlineStr">
        <is>
          <t>10:00–10:45</t>
        </is>
      </c>
      <c r="C41" s="12" t="inlineStr">
        <is>
          <t>Breakout 1</t>
        </is>
      </c>
      <c r="D41" s="12" t="inlineStr">
        <is>
          <t>AI-ding Students' Preparation for Oral Examinations: 6. Using Technology for Real-World Skills</t>
        </is>
      </c>
      <c r="E41" s="12" t="inlineStr">
        <is>
          <t>Ho Jia Xuan Jane</t>
        </is>
      </c>
      <c r="F41" s="12" t="inlineStr">
        <is>
          <t>E101</t>
        </is>
      </c>
      <c r="G41" s="12" t="inlineStr">
        <is>
          <t>11:00–11:45</t>
        </is>
      </c>
      <c r="H41" s="12" t="inlineStr">
        <is>
          <t>Breakout 2</t>
        </is>
      </c>
      <c r="I41" s="12" t="inlineStr">
        <is>
          <t>AIMS vs Gemini: What AI Feedback Reveals About Student Writing (And What It Might Not)</t>
        </is>
      </c>
      <c r="J41" s="12" t="inlineStr">
        <is>
          <t>Irene Kuek &amp; Lin Pei-Chen</t>
        </is>
      </c>
      <c r="K41" s="12" t="inlineStr">
        <is>
          <t>E103</t>
        </is>
      </c>
      <c r="L41" s="13" t="inlineStr"/>
      <c r="M41" s="12">
        <f>IFERROR(XLOOKUP(L41,'DEPARTMENT REFLECTION'!$A$2:$A$20,'DEPARTMENT REFLECTION'!$B$2:$B$20,""),"")</f>
        <v/>
      </c>
      <c r="N41" s="12">
        <f>IFERROR(XLOOKUP(L41,'DEPARTMENT REFLECTION'!$A$2:$A$20,'DEPARTMENT REFLECTION'!$C$2:$C$20,""),"")</f>
        <v/>
      </c>
    </row>
    <row r="42">
      <c r="A42" s="12" t="inlineStr">
        <is>
          <t>Lam Cherng Yang</t>
        </is>
      </c>
      <c r="B42" s="12" t="inlineStr">
        <is>
          <t>10:00–10:45</t>
        </is>
      </c>
      <c r="C42" s="12" t="inlineStr">
        <is>
          <t>Breakout 1</t>
        </is>
      </c>
      <c r="D42" s="12" t="inlineStr">
        <is>
          <t>Multimodal Learning for Multi-Faceted Development of e21CC Skills</t>
        </is>
      </c>
      <c r="E42" s="12" t="inlineStr">
        <is>
          <t>Florence Ang &amp; Caroline Sng</t>
        </is>
      </c>
      <c r="F42" s="12" t="inlineStr">
        <is>
          <t>B106</t>
        </is>
      </c>
      <c r="G42" s="12" t="inlineStr">
        <is>
          <t>11:00–11:45</t>
        </is>
      </c>
      <c r="H42" s="12" t="inlineStr">
        <is>
          <t>Breakout 2</t>
        </is>
      </c>
      <c r="I42" s="12" t="inlineStr">
        <is>
          <t>Experimenting with a Pedagogy of Discomfort in the GP Classroom</t>
        </is>
      </c>
      <c r="J42" s="12" t="inlineStr">
        <is>
          <t>Maryam Mohamed Mokhtar</t>
        </is>
      </c>
      <c r="K42" s="12" t="inlineStr">
        <is>
          <t>B109</t>
        </is>
      </c>
      <c r="L42" s="13" t="inlineStr"/>
      <c r="M42" s="12">
        <f>IFERROR(XLOOKUP(L42,'DEPARTMENT REFLECTION'!$A$2:$A$20,'DEPARTMENT REFLECTION'!$B$2:$B$20,""),"")</f>
        <v/>
      </c>
      <c r="N42" s="12">
        <f>IFERROR(XLOOKUP(L42,'DEPARTMENT REFLECTION'!$A$2:$A$20,'DEPARTMENT REFLECTION'!$C$2:$C$20,""),"")</f>
        <v/>
      </c>
    </row>
    <row r="43">
      <c r="A43" s="12" t="inlineStr">
        <is>
          <t>Lau Fook Choy</t>
        </is>
      </c>
      <c r="B43" s="12" t="inlineStr">
        <is>
          <t>10:00–10:45</t>
        </is>
      </c>
      <c r="C43" s="12" t="inlineStr">
        <is>
          <t>Breakout 1</t>
        </is>
      </c>
      <c r="D43" s="12" t="inlineStr">
        <is>
          <t>AI in Mathematics: See the Thinking, Shape the Learning, Spark Joy</t>
        </is>
      </c>
      <c r="E43" s="12" t="inlineStr">
        <is>
          <t>Ng Lay Ling</t>
        </is>
      </c>
      <c r="F43" s="12" t="inlineStr">
        <is>
          <t>B109</t>
        </is>
      </c>
      <c r="G43" s="12" t="inlineStr">
        <is>
          <t>11:00–11:45</t>
        </is>
      </c>
      <c r="H43" s="12" t="inlineStr">
        <is>
          <t>Breakout 2</t>
        </is>
      </c>
      <c r="I43" s="12" t="inlineStr">
        <is>
          <t>Redesigning Mathematics Learning: Our ILP Journey and Pedagogical Shifts</t>
        </is>
      </c>
      <c r="J43" s="12" t="inlineStr">
        <is>
          <t>Kelvin Ng &amp; Leonard Lau</t>
        </is>
      </c>
      <c r="K43" s="12" t="inlineStr">
        <is>
          <t>E102</t>
        </is>
      </c>
      <c r="L43" s="13" t="inlineStr"/>
      <c r="M43" s="12">
        <f>IFERROR(XLOOKUP(L43,'DEPARTMENT REFLECTION'!$A$2:$A$20,'DEPARTMENT REFLECTION'!$B$2:$B$20,""),"")</f>
        <v/>
      </c>
      <c r="N43" s="12">
        <f>IFERROR(XLOOKUP(L43,'DEPARTMENT REFLECTION'!$A$2:$A$20,'DEPARTMENT REFLECTION'!$C$2:$C$20,""),"")</f>
        <v/>
      </c>
    </row>
    <row r="44">
      <c r="A44" s="12" t="inlineStr">
        <is>
          <t>Lau Wee Lip Jonathan</t>
        </is>
      </c>
      <c r="B44" s="12" t="inlineStr">
        <is>
          <t>10:00–10:45</t>
        </is>
      </c>
      <c r="C44" s="12" t="inlineStr">
        <is>
          <t>Breakout 1</t>
        </is>
      </c>
      <c r="D44" s="12" t="inlineStr">
        <is>
          <t>AI in Mathematics: See the Thinking, Shape the Learning, Spark Joy</t>
        </is>
      </c>
      <c r="E44" s="12" t="inlineStr">
        <is>
          <t>Ng Lay Ling</t>
        </is>
      </c>
      <c r="F44" s="12" t="inlineStr">
        <is>
          <t>B109</t>
        </is>
      </c>
      <c r="G44" s="12" t="inlineStr">
        <is>
          <t>11:00–11:45</t>
        </is>
      </c>
      <c r="H44" s="12" t="inlineStr">
        <is>
          <t>Breakout 2</t>
        </is>
      </c>
      <c r="I44" s="12" t="inlineStr">
        <is>
          <t>AI as Feedback, Not Fallback: Developing Critical Thinking Using AI</t>
        </is>
      </c>
      <c r="J44" s="12" t="inlineStr">
        <is>
          <t>Chen Ying &amp; Brendon Chee</t>
        </is>
      </c>
      <c r="K44" s="12" t="inlineStr">
        <is>
          <t>B105</t>
        </is>
      </c>
      <c r="L44" s="13" t="inlineStr"/>
      <c r="M44" s="12">
        <f>IFERROR(XLOOKUP(L44,'DEPARTMENT REFLECTION'!$A$2:$A$20,'DEPARTMENT REFLECTION'!$B$2:$B$20,""),"")</f>
        <v/>
      </c>
      <c r="N44" s="12">
        <f>IFERROR(XLOOKUP(L44,'DEPARTMENT REFLECTION'!$A$2:$A$20,'DEPARTMENT REFLECTION'!$C$2:$C$20,""),"")</f>
        <v/>
      </c>
    </row>
    <row r="45">
      <c r="A45" s="12" t="inlineStr">
        <is>
          <t>Laycock Eng Yeow Gary</t>
        </is>
      </c>
      <c r="B45" s="12" t="inlineStr">
        <is>
          <t>10:00–10:45</t>
        </is>
      </c>
      <c r="C45" s="12" t="inlineStr">
        <is>
          <t>Breakout 1</t>
        </is>
      </c>
      <c r="D45" s="12" t="inlineStr">
        <is>
          <t>Dialogic Talk for Thoughtful Thinkers</t>
        </is>
      </c>
      <c r="E45" s="12" t="inlineStr">
        <is>
          <t>Sasha Kaur dhillon</t>
        </is>
      </c>
      <c r="F45" s="12" t="inlineStr">
        <is>
          <t>G301</t>
        </is>
      </c>
      <c r="G45" s="12" t="inlineStr">
        <is>
          <t>11:00–11:45</t>
        </is>
      </c>
      <c r="H45" s="12" t="inlineStr">
        <is>
          <t>Breakout 2</t>
        </is>
      </c>
      <c r="I45" s="12" t="inlineStr">
        <is>
          <t>AI as Feedback, Not Fallback: Developing Critical Thinking Using AI</t>
        </is>
      </c>
      <c r="J45" s="12" t="inlineStr">
        <is>
          <t>Chen Ying &amp; Brendon Chee</t>
        </is>
      </c>
      <c r="K45" s="12" t="inlineStr">
        <is>
          <t>B105</t>
        </is>
      </c>
      <c r="L45" s="13" t="inlineStr"/>
      <c r="M45" s="12">
        <f>IFERROR(XLOOKUP(L45,'DEPARTMENT REFLECTION'!$A$2:$A$20,'DEPARTMENT REFLECTION'!$B$2:$B$20,""),"")</f>
        <v/>
      </c>
      <c r="N45" s="12">
        <f>IFERROR(XLOOKUP(L45,'DEPARTMENT REFLECTION'!$A$2:$A$20,'DEPARTMENT REFLECTION'!$C$2:$C$20,""),"")</f>
        <v/>
      </c>
    </row>
    <row r="46">
      <c r="A46" s="12" t="inlineStr">
        <is>
          <t>Lee Melvyn</t>
        </is>
      </c>
      <c r="B46" s="12" t="inlineStr">
        <is>
          <t>10:00–10:45</t>
        </is>
      </c>
      <c r="C46" s="12" t="inlineStr">
        <is>
          <t>Breakout 1</t>
        </is>
      </c>
      <c r="D46" s="12" t="inlineStr">
        <is>
          <t>AI and AA: An Attempt at Amalgamation</t>
        </is>
      </c>
      <c r="E46" s="12" t="inlineStr">
        <is>
          <t>Low Kian Seh</t>
        </is>
      </c>
      <c r="F46" s="12" t="inlineStr">
        <is>
          <t>E102</t>
        </is>
      </c>
      <c r="G46" s="12" t="inlineStr">
        <is>
          <t>11:00–11:45</t>
        </is>
      </c>
      <c r="H46" s="12" t="inlineStr">
        <is>
          <t>Breakout 2</t>
        </is>
      </c>
      <c r="I46" s="12" t="inlineStr">
        <is>
          <t>Use of Brisk Teaching: Practical Strategies to Develop Metacognition and Adaptive Thinking through Form</t>
        </is>
      </c>
      <c r="J46" s="12" t="inlineStr">
        <is>
          <t>Alan Varella &amp; Cyrene Tan</t>
        </is>
      </c>
      <c r="K46" s="12" t="inlineStr">
        <is>
          <t>E104</t>
        </is>
      </c>
      <c r="L46" s="13" t="inlineStr"/>
      <c r="M46" s="12">
        <f>IFERROR(XLOOKUP(L46,'DEPARTMENT REFLECTION'!$A$2:$A$20,'DEPARTMENT REFLECTION'!$B$2:$B$20,""),"")</f>
        <v/>
      </c>
      <c r="N46" s="12">
        <f>IFERROR(XLOOKUP(L46,'DEPARTMENT REFLECTION'!$A$2:$A$20,'DEPARTMENT REFLECTION'!$C$2:$C$20,""),"")</f>
        <v/>
      </c>
    </row>
    <row r="47">
      <c r="A47" s="12" t="inlineStr">
        <is>
          <t>Lee Mui Keow</t>
        </is>
      </c>
      <c r="B47" s="12" t="inlineStr">
        <is>
          <t>10:00–10:45</t>
        </is>
      </c>
      <c r="C47" s="12" t="inlineStr">
        <is>
          <t>Breakout 1</t>
        </is>
      </c>
      <c r="D47" s="12" t="inlineStr">
        <is>
          <t>Leveraging on the Student Learning Space (SLS) to Enhance Global Literacy</t>
        </is>
      </c>
      <c r="E47" s="12" t="inlineStr">
        <is>
          <t>Niki Lee</t>
        </is>
      </c>
      <c r="F47" s="12" t="inlineStr">
        <is>
          <t>B105</t>
        </is>
      </c>
      <c r="G47" s="12" t="inlineStr">
        <is>
          <t>11:00–11:45</t>
        </is>
      </c>
      <c r="H47" s="12" t="inlineStr">
        <is>
          <t>Breakout 2</t>
        </is>
      </c>
      <c r="I47" s="12" t="inlineStr">
        <is>
          <t>Fostering Critical Thinking and Communication through Real-World Chemistry Projects</t>
        </is>
      </c>
      <c r="J47" s="12" t="inlineStr">
        <is>
          <t>Veron Lee, Joanne Tan &amp; Joel Chung</t>
        </is>
      </c>
      <c r="K47" s="12" t="inlineStr">
        <is>
          <t>E105</t>
        </is>
      </c>
      <c r="L47" s="13" t="inlineStr"/>
      <c r="M47" s="12">
        <f>IFERROR(XLOOKUP(L47,'DEPARTMENT REFLECTION'!$A$2:$A$20,'DEPARTMENT REFLECTION'!$B$2:$B$20,""),"")</f>
        <v/>
      </c>
      <c r="N47" s="12">
        <f>IFERROR(XLOOKUP(L47,'DEPARTMENT REFLECTION'!$A$2:$A$20,'DEPARTMENT REFLECTION'!$C$2:$C$20,""),"")</f>
        <v/>
      </c>
    </row>
    <row r="48">
      <c r="A48" s="12" t="inlineStr">
        <is>
          <t>Lee Sze Hwee Lorraine</t>
        </is>
      </c>
      <c r="B48" s="12" t="inlineStr">
        <is>
          <t>10:00–10:45</t>
        </is>
      </c>
      <c r="C48" s="12" t="inlineStr">
        <is>
          <t>Breakout 1</t>
        </is>
      </c>
      <c r="D48" s="12" t="inlineStr">
        <is>
          <t>Dialogic Talk for Thoughtful Thinkers</t>
        </is>
      </c>
      <c r="E48" s="12" t="inlineStr">
        <is>
          <t>Sasha Kaur dhillon</t>
        </is>
      </c>
      <c r="F48" s="12" t="inlineStr">
        <is>
          <t>G301</t>
        </is>
      </c>
      <c r="G48" s="12" t="inlineStr">
        <is>
          <t>11:00–11:45</t>
        </is>
      </c>
      <c r="H48" s="12" t="inlineStr">
        <is>
          <t>Breakout 2</t>
        </is>
      </c>
      <c r="I48" s="12" t="inlineStr">
        <is>
          <t>AI as Feedback, Not Fallback: Developing Critical Thinking Using AI</t>
        </is>
      </c>
      <c r="J48" s="12" t="inlineStr">
        <is>
          <t>Chen Ying &amp; Brendon Chee</t>
        </is>
      </c>
      <c r="K48" s="12" t="inlineStr">
        <is>
          <t>B105</t>
        </is>
      </c>
      <c r="L48" s="13" t="inlineStr"/>
      <c r="M48" s="12">
        <f>IFERROR(XLOOKUP(L48,'DEPARTMENT REFLECTION'!$A$2:$A$20,'DEPARTMENT REFLECTION'!$B$2:$B$20,""),"")</f>
        <v/>
      </c>
      <c r="N48" s="12">
        <f>IFERROR(XLOOKUP(L48,'DEPARTMENT REFLECTION'!$A$2:$A$20,'DEPARTMENT REFLECTION'!$C$2:$C$20,""),"")</f>
        <v/>
      </c>
    </row>
    <row r="49">
      <c r="A49" s="12" t="inlineStr">
        <is>
          <t>Lee Weng Sun Francis</t>
        </is>
      </c>
      <c r="B49" s="12" t="inlineStr">
        <is>
          <t>10:00–10:45</t>
        </is>
      </c>
      <c r="C49" s="12" t="inlineStr">
        <is>
          <t>Breakout 1</t>
        </is>
      </c>
      <c r="D49" s="12" t="inlineStr">
        <is>
          <t>Exploring the Use of Non-Linear Pedagogy Principles to Deepen Student Learning in Physical Education</t>
        </is>
      </c>
      <c r="E49" s="12" t="inlineStr">
        <is>
          <t>Francis Lee</t>
        </is>
      </c>
      <c r="F49" s="12" t="inlineStr">
        <is>
          <t>E103</t>
        </is>
      </c>
      <c r="G49" s="12" t="inlineStr">
        <is>
          <t>11:00–11:45</t>
        </is>
      </c>
      <c r="H49" s="12" t="inlineStr">
        <is>
          <t>Breakout 2</t>
        </is>
      </c>
      <c r="I49" s="12" t="inlineStr">
        <is>
          <t>AI as Feedback, Not Fallback: Developing Critical Thinking Using AI</t>
        </is>
      </c>
      <c r="J49" s="12" t="inlineStr">
        <is>
          <t>Chen Ying &amp; Brendon Chee</t>
        </is>
      </c>
      <c r="K49" s="12" t="inlineStr">
        <is>
          <t>B105</t>
        </is>
      </c>
      <c r="L49" s="13" t="inlineStr"/>
      <c r="M49" s="12">
        <f>IFERROR(XLOOKUP(L49,'DEPARTMENT REFLECTION'!$A$2:$A$20,'DEPARTMENT REFLECTION'!$B$2:$B$20,""),"")</f>
        <v/>
      </c>
      <c r="N49" s="12">
        <f>IFERROR(XLOOKUP(L49,'DEPARTMENT REFLECTION'!$A$2:$A$20,'DEPARTMENT REFLECTION'!$C$2:$C$20,""),"")</f>
        <v/>
      </c>
    </row>
    <row r="50">
      <c r="A50" s="12" t="inlineStr">
        <is>
          <t>Lee Xiuli</t>
        </is>
      </c>
      <c r="B50" s="12" t="inlineStr">
        <is>
          <t>10:00–10:45</t>
        </is>
      </c>
      <c r="C50" s="12" t="inlineStr">
        <is>
          <t>Breakout 1</t>
        </is>
      </c>
      <c r="D50" s="12" t="inlineStr">
        <is>
          <t>Leveraging on the Student Learning Space (SLS) to Enhance Global Literacy</t>
        </is>
      </c>
      <c r="E50" s="12" t="inlineStr">
        <is>
          <t>Niki Lee</t>
        </is>
      </c>
      <c r="F50" s="12" t="inlineStr">
        <is>
          <t>B105</t>
        </is>
      </c>
      <c r="G50" s="12" t="inlineStr">
        <is>
          <t>11:00–11:45</t>
        </is>
      </c>
      <c r="H50" s="12" t="inlineStr">
        <is>
          <t>Breakout 2</t>
        </is>
      </c>
      <c r="I50" s="12" t="inlineStr">
        <is>
          <t>Evidence-Driven Decision-Making: Using Student Data to Complement Teacher Observations</t>
        </is>
      </c>
      <c r="J50" s="12" t="inlineStr">
        <is>
          <t>Christabelle Soh</t>
        </is>
      </c>
      <c r="K50" s="12" t="inlineStr">
        <is>
          <t>B106</t>
        </is>
      </c>
      <c r="L50" s="13" t="inlineStr"/>
      <c r="M50" s="12">
        <f>IFERROR(XLOOKUP(L50,'DEPARTMENT REFLECTION'!$A$2:$A$20,'DEPARTMENT REFLECTION'!$B$2:$B$20,""),"")</f>
        <v/>
      </c>
      <c r="N50" s="12">
        <f>IFERROR(XLOOKUP(L50,'DEPARTMENT REFLECTION'!$A$2:$A$20,'DEPARTMENT REFLECTION'!$C$2:$C$20,""),"")</f>
        <v/>
      </c>
    </row>
    <row r="51">
      <c r="A51" s="12" t="inlineStr">
        <is>
          <t>Lee Yoke Ling Elling</t>
        </is>
      </c>
      <c r="B51" s="12" t="inlineStr">
        <is>
          <t>10:00–10:45</t>
        </is>
      </c>
      <c r="C51" s="12" t="inlineStr">
        <is>
          <t>Breakout 1</t>
        </is>
      </c>
      <c r="D51" s="12" t="inlineStr">
        <is>
          <t>AI in Mathematics: See the Thinking, Shape the Learning, Spark Joy</t>
        </is>
      </c>
      <c r="E51" s="12" t="inlineStr">
        <is>
          <t>Ng Lay Ling</t>
        </is>
      </c>
      <c r="F51" s="12" t="inlineStr">
        <is>
          <t>B109</t>
        </is>
      </c>
      <c r="G51" s="12" t="inlineStr">
        <is>
          <t>11:00–11:45</t>
        </is>
      </c>
      <c r="H51" s="12" t="inlineStr">
        <is>
          <t>Breakout 2</t>
        </is>
      </c>
      <c r="I51" s="12" t="inlineStr">
        <is>
          <t>AI as Feedback, Not Fallback: Developing Critical Thinking Using AI</t>
        </is>
      </c>
      <c r="J51" s="12" t="inlineStr">
        <is>
          <t>Chen Ying &amp; Brendon Chee</t>
        </is>
      </c>
      <c r="K51" s="12" t="inlineStr">
        <is>
          <t>B105</t>
        </is>
      </c>
      <c r="L51" s="13" t="inlineStr"/>
      <c r="M51" s="12">
        <f>IFERROR(XLOOKUP(L51,'DEPARTMENT REFLECTION'!$A$2:$A$20,'DEPARTMENT REFLECTION'!$B$2:$B$20,""),"")</f>
        <v/>
      </c>
      <c r="N51" s="12">
        <f>IFERROR(XLOOKUP(L51,'DEPARTMENT REFLECTION'!$A$2:$A$20,'DEPARTMENT REFLECTION'!$C$2:$C$20,""),"")</f>
        <v/>
      </c>
    </row>
    <row r="52">
      <c r="A52" s="12" t="inlineStr">
        <is>
          <t>Leong Chou Keen</t>
        </is>
      </c>
      <c r="B52" s="12" t="inlineStr">
        <is>
          <t>10:00–10:45</t>
        </is>
      </c>
      <c r="C52" s="12" t="inlineStr">
        <is>
          <t>Breakout 1</t>
        </is>
      </c>
      <c r="D52" s="12" t="inlineStr">
        <is>
          <t>Dialogic Talk for Thoughtful Thinkers</t>
        </is>
      </c>
      <c r="E52" s="12" t="inlineStr">
        <is>
          <t>Sasha Kaur dhillon</t>
        </is>
      </c>
      <c r="F52" s="12" t="inlineStr">
        <is>
          <t>G301</t>
        </is>
      </c>
      <c r="G52" s="12" t="inlineStr">
        <is>
          <t>11:00–11:45</t>
        </is>
      </c>
      <c r="H52" s="12" t="inlineStr">
        <is>
          <t>Breakout 2</t>
        </is>
      </c>
      <c r="I52" s="12" t="inlineStr">
        <is>
          <t>Empowering Students to Understand Concepts, Not Just Content</t>
        </is>
      </c>
      <c r="J52" s="12" t="inlineStr">
        <is>
          <t>Trevor Tay &amp; Nuryani Suneh</t>
        </is>
      </c>
      <c r="K52" s="12" t="inlineStr">
        <is>
          <t>B110</t>
        </is>
      </c>
      <c r="L52" s="13" t="inlineStr"/>
      <c r="M52" s="12">
        <f>IFERROR(XLOOKUP(L52,'DEPARTMENT REFLECTION'!$A$2:$A$20,'DEPARTMENT REFLECTION'!$B$2:$B$20,""),"")</f>
        <v/>
      </c>
      <c r="N52" s="12">
        <f>IFERROR(XLOOKUP(L52,'DEPARTMENT REFLECTION'!$A$2:$A$20,'DEPARTMENT REFLECTION'!$C$2:$C$20,""),"")</f>
        <v/>
      </c>
    </row>
    <row r="53">
      <c r="A53" s="12" t="inlineStr">
        <is>
          <t>Li Shuwen</t>
        </is>
      </c>
      <c r="B53" s="12" t="inlineStr">
        <is>
          <t>10:00–10:45</t>
        </is>
      </c>
      <c r="C53" s="12" t="inlineStr">
        <is>
          <t>Breakout 1</t>
        </is>
      </c>
      <c r="D53" s="12" t="inlineStr">
        <is>
          <t>Multimodal Learning for Multi-Faceted Development of e21CC Skills</t>
        </is>
      </c>
      <c r="E53" s="12" t="inlineStr">
        <is>
          <t>Florence Ang &amp; Caroline Sng</t>
        </is>
      </c>
      <c r="F53" s="12" t="inlineStr">
        <is>
          <t>B106</t>
        </is>
      </c>
      <c r="G53" s="12" t="inlineStr">
        <is>
          <t>11:00–11:45</t>
        </is>
      </c>
      <c r="H53" s="12" t="inlineStr">
        <is>
          <t>Breakout 2</t>
        </is>
      </c>
      <c r="I53" s="12" t="inlineStr">
        <is>
          <t>AIMS vs Gemini: What AI Feedback Reveals About Student Writing (And What It Might Not)</t>
        </is>
      </c>
      <c r="J53" s="12" t="inlineStr">
        <is>
          <t>Irene Kuek &amp; Lin Pei-Chen</t>
        </is>
      </c>
      <c r="K53" s="12" t="inlineStr">
        <is>
          <t>E103</t>
        </is>
      </c>
      <c r="L53" s="13" t="inlineStr"/>
      <c r="M53" s="12">
        <f>IFERROR(XLOOKUP(L53,'DEPARTMENT REFLECTION'!$A$2:$A$20,'DEPARTMENT REFLECTION'!$B$2:$B$20,""),"")</f>
        <v/>
      </c>
      <c r="N53" s="12">
        <f>IFERROR(XLOOKUP(L53,'DEPARTMENT REFLECTION'!$A$2:$A$20,'DEPARTMENT REFLECTION'!$C$2:$C$20,""),"")</f>
        <v/>
      </c>
    </row>
    <row r="54">
      <c r="A54" s="12" t="inlineStr">
        <is>
          <t>Liau Shu Juan</t>
        </is>
      </c>
      <c r="B54" s="12" t="inlineStr">
        <is>
          <t>10:00–10:45</t>
        </is>
      </c>
      <c r="C54" s="12" t="inlineStr">
        <is>
          <t>Breakout 1</t>
        </is>
      </c>
      <c r="D54" s="12" t="inlineStr">
        <is>
          <t>Fostering Student Passion in Project Work Using the From Near to Far Framework</t>
        </is>
      </c>
      <c r="E54" s="12" t="inlineStr">
        <is>
          <t>Mariya Ahmad</t>
        </is>
      </c>
      <c r="F54" s="12" t="inlineStr">
        <is>
          <t>E104</t>
        </is>
      </c>
      <c r="G54" s="12" t="inlineStr">
        <is>
          <t>11:00–11:45</t>
        </is>
      </c>
      <c r="H54" s="12" t="inlineStr">
        <is>
          <t>Breakout 2</t>
        </is>
      </c>
      <c r="I54" s="12" t="inlineStr">
        <is>
          <t>Empowering Students to Understand Concepts, Not Just Content</t>
        </is>
      </c>
      <c r="J54" s="12" t="inlineStr">
        <is>
          <t>Trevor Tay &amp; Nuryani Suneh</t>
        </is>
      </c>
      <c r="K54" s="12" t="inlineStr">
        <is>
          <t>B110</t>
        </is>
      </c>
      <c r="L54" s="13" t="inlineStr"/>
      <c r="M54" s="12">
        <f>IFERROR(XLOOKUP(L54,'DEPARTMENT REFLECTION'!$A$2:$A$20,'DEPARTMENT REFLECTION'!$B$2:$B$20,""),"")</f>
        <v/>
      </c>
      <c r="N54" s="12">
        <f>IFERROR(XLOOKUP(L54,'DEPARTMENT REFLECTION'!$A$2:$A$20,'DEPARTMENT REFLECTION'!$C$2:$C$20,""),"")</f>
        <v/>
      </c>
    </row>
    <row r="55">
      <c r="A55" s="12" t="inlineStr">
        <is>
          <t>Liew Shuxian</t>
        </is>
      </c>
      <c r="B55" s="12" t="inlineStr">
        <is>
          <t>10:00–10:45</t>
        </is>
      </c>
      <c r="C55" s="12" t="inlineStr">
        <is>
          <t>Breakout 1</t>
        </is>
      </c>
      <c r="D55" s="12" t="inlineStr">
        <is>
          <t>Leveraging on the Student Learning Space (SLS) to Enhance Global Literacy</t>
        </is>
      </c>
      <c r="E55" s="12" t="inlineStr">
        <is>
          <t>Niki Lee</t>
        </is>
      </c>
      <c r="F55" s="12" t="inlineStr">
        <is>
          <t>B105</t>
        </is>
      </c>
      <c r="G55" s="12" t="inlineStr">
        <is>
          <t>11:00–11:45</t>
        </is>
      </c>
      <c r="H55" s="12" t="inlineStr">
        <is>
          <t>Breakout 2</t>
        </is>
      </c>
      <c r="I55" s="12" t="inlineStr">
        <is>
          <t>Redesigning Mathematics Learning: Our ILP Journey and Pedagogical Shifts</t>
        </is>
      </c>
      <c r="J55" s="12" t="inlineStr">
        <is>
          <t>Kelvin Ng &amp; Leonard Lau</t>
        </is>
      </c>
      <c r="K55" s="12" t="inlineStr">
        <is>
          <t>E102</t>
        </is>
      </c>
      <c r="L55" s="13" t="inlineStr"/>
      <c r="M55" s="12">
        <f>IFERROR(XLOOKUP(L55,'DEPARTMENT REFLECTION'!$A$2:$A$20,'DEPARTMENT REFLECTION'!$B$2:$B$20,""),"")</f>
        <v/>
      </c>
      <c r="N55" s="12">
        <f>IFERROR(XLOOKUP(L55,'DEPARTMENT REFLECTION'!$A$2:$A$20,'DEPARTMENT REFLECTION'!$C$2:$C$20,""),"")</f>
        <v/>
      </c>
    </row>
    <row r="56">
      <c r="A56" s="12" t="inlineStr">
        <is>
          <t>Lim Ann Lee</t>
        </is>
      </c>
      <c r="B56" s="12" t="inlineStr">
        <is>
          <t>10:00–10:45</t>
        </is>
      </c>
      <c r="C56" s="12" t="inlineStr">
        <is>
          <t>Breakout 1</t>
        </is>
      </c>
      <c r="D56" s="12" t="inlineStr">
        <is>
          <t>Exploring the Use of Non-Linear Pedagogy Principles to Deepen Student Learning in Physical Education</t>
        </is>
      </c>
      <c r="E56" s="12" t="inlineStr">
        <is>
          <t>Francis Lee</t>
        </is>
      </c>
      <c r="F56" s="12" t="inlineStr">
        <is>
          <t>E103</t>
        </is>
      </c>
      <c r="G56" s="12" t="inlineStr">
        <is>
          <t>11:00–11:45</t>
        </is>
      </c>
      <c r="H56" s="12" t="inlineStr">
        <is>
          <t>Breakout 2</t>
        </is>
      </c>
      <c r="I56" s="12" t="inlineStr">
        <is>
          <t>Fostering Critical Thinking and Communication through Real-World Chemistry Projects</t>
        </is>
      </c>
      <c r="J56" s="12" t="inlineStr">
        <is>
          <t>Veron Lee, Joanne Tan &amp; Joel Chung</t>
        </is>
      </c>
      <c r="K56" s="12" t="inlineStr">
        <is>
          <t>E105</t>
        </is>
      </c>
      <c r="L56" s="13" t="inlineStr"/>
      <c r="M56" s="12">
        <f>IFERROR(XLOOKUP(L56,'DEPARTMENT REFLECTION'!$A$2:$A$20,'DEPARTMENT REFLECTION'!$B$2:$B$20,""),"")</f>
        <v/>
      </c>
      <c r="N56" s="12">
        <f>IFERROR(XLOOKUP(L56,'DEPARTMENT REFLECTION'!$A$2:$A$20,'DEPARTMENT REFLECTION'!$C$2:$C$20,""),"")</f>
        <v/>
      </c>
    </row>
    <row r="57">
      <c r="A57" s="12" t="inlineStr">
        <is>
          <t>Lim Xiao Qi</t>
        </is>
      </c>
      <c r="B57" s="12" t="inlineStr">
        <is>
          <t>10:00–10:45</t>
        </is>
      </c>
      <c r="C57" s="12" t="inlineStr">
        <is>
          <t>Breakout 1</t>
        </is>
      </c>
      <c r="D57" s="12" t="inlineStr">
        <is>
          <t>Multimodal Learning for Multi-Faceted Development of e21CC Skills</t>
        </is>
      </c>
      <c r="E57" s="12" t="inlineStr">
        <is>
          <t>Florence Ang &amp; Caroline Sng</t>
        </is>
      </c>
      <c r="F57" s="12" t="inlineStr">
        <is>
          <t>B106</t>
        </is>
      </c>
      <c r="G57" s="12" t="inlineStr">
        <is>
          <t>11:00–11:45</t>
        </is>
      </c>
      <c r="H57" s="12" t="inlineStr">
        <is>
          <t>Breakout 2</t>
        </is>
      </c>
      <c r="I57" s="12" t="inlineStr">
        <is>
          <t>AI as Feedback, Not Fallback: Developing Critical Thinking Using AI</t>
        </is>
      </c>
      <c r="J57" s="12" t="inlineStr">
        <is>
          <t>Chen Ying &amp; Brendon Chee</t>
        </is>
      </c>
      <c r="K57" s="12" t="inlineStr">
        <is>
          <t>B105</t>
        </is>
      </c>
      <c r="L57" s="13" t="inlineStr"/>
      <c r="M57" s="12">
        <f>IFERROR(XLOOKUP(L57,'DEPARTMENT REFLECTION'!$A$2:$A$20,'DEPARTMENT REFLECTION'!$B$2:$B$20,""),"")</f>
        <v/>
      </c>
      <c r="N57" s="12">
        <f>IFERROR(XLOOKUP(L57,'DEPARTMENT REFLECTION'!$A$2:$A$20,'DEPARTMENT REFLECTION'!$C$2:$C$20,""),"")</f>
        <v/>
      </c>
    </row>
    <row r="58">
      <c r="A58" s="12" t="inlineStr">
        <is>
          <t>Lin Pei-Chen</t>
        </is>
      </c>
      <c r="B58" s="12" t="inlineStr">
        <is>
          <t>10:00–10:45</t>
        </is>
      </c>
      <c r="C58" s="12" t="inlineStr">
        <is>
          <t>Breakout 1</t>
        </is>
      </c>
      <c r="D58" s="12" t="inlineStr">
        <is>
          <t>Leveraging on the Student Learning Space (SLS) to Enhance Global Literacy</t>
        </is>
      </c>
      <c r="E58" s="12" t="inlineStr">
        <is>
          <t>Niki Lee</t>
        </is>
      </c>
      <c r="F58" s="12" t="inlineStr">
        <is>
          <t>B105</t>
        </is>
      </c>
      <c r="G58" s="12" t="inlineStr">
        <is>
          <t>11:00–11:45</t>
        </is>
      </c>
      <c r="H58" s="12" t="inlineStr">
        <is>
          <t>Breakout 2</t>
        </is>
      </c>
      <c r="I58" s="12" t="inlineStr">
        <is>
          <t>AIMS vs Gemini: What AI Feedback Reveals About Student Writing (And What It Might Not)</t>
        </is>
      </c>
      <c r="J58" s="12" t="inlineStr">
        <is>
          <t>Irene Kuek &amp; Lin Pei-Chen</t>
        </is>
      </c>
      <c r="K58" s="12" t="inlineStr">
        <is>
          <t>E103</t>
        </is>
      </c>
      <c r="L58" s="13" t="inlineStr"/>
      <c r="M58" s="12">
        <f>IFERROR(XLOOKUP(L58,'DEPARTMENT REFLECTION'!$A$2:$A$20,'DEPARTMENT REFLECTION'!$B$2:$B$20,""),"")</f>
        <v/>
      </c>
      <c r="N58" s="12">
        <f>IFERROR(XLOOKUP(L58,'DEPARTMENT REFLECTION'!$A$2:$A$20,'DEPARTMENT REFLECTION'!$C$2:$C$20,""),"")</f>
        <v/>
      </c>
    </row>
    <row r="59">
      <c r="A59" s="12" t="inlineStr">
        <is>
          <t>Liu Yixiang, Samuel</t>
        </is>
      </c>
      <c r="B59" s="12" t="inlineStr">
        <is>
          <t>10:00–10:45</t>
        </is>
      </c>
      <c r="C59" s="12" t="inlineStr">
        <is>
          <t>Breakout 1</t>
        </is>
      </c>
      <c r="D59" s="12" t="inlineStr">
        <is>
          <t>Exploring the Use of Non-Linear Pedagogy Principles to Deepen Student Learning in Physical Education</t>
        </is>
      </c>
      <c r="E59" s="12" t="inlineStr">
        <is>
          <t>Francis Lee</t>
        </is>
      </c>
      <c r="F59" s="12" t="inlineStr">
        <is>
          <t>E103</t>
        </is>
      </c>
      <c r="G59" s="12" t="inlineStr">
        <is>
          <t>11:00–11:45</t>
        </is>
      </c>
      <c r="H59" s="12" t="inlineStr">
        <is>
          <t>Breakout 2</t>
        </is>
      </c>
      <c r="I59" s="12" t="inlineStr">
        <is>
          <t>Fostering Critical Thinking and Communication through Real-World Chemistry Projects</t>
        </is>
      </c>
      <c r="J59" s="12" t="inlineStr">
        <is>
          <t>Veron Lee, Joanne Tan &amp; Joel Chung</t>
        </is>
      </c>
      <c r="K59" s="12" t="inlineStr">
        <is>
          <t>E105</t>
        </is>
      </c>
      <c r="L59" s="13" t="inlineStr"/>
      <c r="M59" s="12">
        <f>IFERROR(XLOOKUP(L59,'DEPARTMENT REFLECTION'!$A$2:$A$20,'DEPARTMENT REFLECTION'!$B$2:$B$20,""),"")</f>
        <v/>
      </c>
      <c r="N59" s="12">
        <f>IFERROR(XLOOKUP(L59,'DEPARTMENT REFLECTION'!$A$2:$A$20,'DEPARTMENT REFLECTION'!$C$2:$C$20,""),"")</f>
        <v/>
      </c>
    </row>
    <row r="60">
      <c r="A60" s="12" t="inlineStr">
        <is>
          <t>Loh Jun Lai Eugene</t>
        </is>
      </c>
      <c r="B60" s="12" t="inlineStr">
        <is>
          <t>10:00–10:45</t>
        </is>
      </c>
      <c r="C60" s="12" t="inlineStr">
        <is>
          <t>Breakout 1</t>
        </is>
      </c>
      <c r="D60" s="12" t="inlineStr">
        <is>
          <t>Leveraging on the Student Learning Space (SLS) to Enhance Global Literacy</t>
        </is>
      </c>
      <c r="E60" s="12" t="inlineStr">
        <is>
          <t>Niki Lee</t>
        </is>
      </c>
      <c r="F60" s="12" t="inlineStr">
        <is>
          <t>B105</t>
        </is>
      </c>
      <c r="G60" s="12" t="inlineStr">
        <is>
          <t>11:00–11:45</t>
        </is>
      </c>
      <c r="H60" s="12" t="inlineStr">
        <is>
          <t>Breakout 2</t>
        </is>
      </c>
      <c r="I60" s="12" t="inlineStr">
        <is>
          <t>Experimenting with a Pedagogy of Discomfort in the GP Classroom</t>
        </is>
      </c>
      <c r="J60" s="12" t="inlineStr">
        <is>
          <t>Maryam Mohamed Mokhtar</t>
        </is>
      </c>
      <c r="K60" s="12" t="inlineStr">
        <is>
          <t>B109</t>
        </is>
      </c>
      <c r="L60" s="13" t="inlineStr"/>
      <c r="M60" s="12">
        <f>IFERROR(XLOOKUP(L60,'DEPARTMENT REFLECTION'!$A$2:$A$20,'DEPARTMENT REFLECTION'!$B$2:$B$20,""),"")</f>
        <v/>
      </c>
      <c r="N60" s="12">
        <f>IFERROR(XLOOKUP(L60,'DEPARTMENT REFLECTION'!$A$2:$A$20,'DEPARTMENT REFLECTION'!$C$2:$C$20,""),"")</f>
        <v/>
      </c>
    </row>
    <row r="61">
      <c r="A61" s="12" t="inlineStr">
        <is>
          <t>LOK CHUI HUI</t>
        </is>
      </c>
      <c r="B61" s="12" t="inlineStr">
        <is>
          <t>10:00–10:45</t>
        </is>
      </c>
      <c r="C61" s="12" t="inlineStr">
        <is>
          <t>Breakout 1</t>
        </is>
      </c>
      <c r="D61" s="12" t="inlineStr">
        <is>
          <t>AI-ding Students' Preparation for Oral Examinations: 6. Using Technology for Real-World Skills</t>
        </is>
      </c>
      <c r="E61" s="12" t="inlineStr">
        <is>
          <t>Ho Jia Xuan Jane</t>
        </is>
      </c>
      <c r="F61" s="12" t="inlineStr">
        <is>
          <t>E101</t>
        </is>
      </c>
      <c r="G61" s="12" t="inlineStr">
        <is>
          <t>11:00–11:45</t>
        </is>
      </c>
      <c r="H61" s="12" t="inlineStr">
        <is>
          <t>Breakout 2</t>
        </is>
      </c>
      <c r="I61" s="12" t="inlineStr">
        <is>
          <t>AIMS vs Gemini: What AI Feedback Reveals About Student Writing (And What It Might Not)</t>
        </is>
      </c>
      <c r="J61" s="12" t="inlineStr">
        <is>
          <t>Irene Kuek &amp; Lin Pei-Chen</t>
        </is>
      </c>
      <c r="K61" s="12" t="inlineStr">
        <is>
          <t>E103</t>
        </is>
      </c>
      <c r="L61" s="13" t="inlineStr"/>
      <c r="M61" s="12">
        <f>IFERROR(XLOOKUP(L61,'DEPARTMENT REFLECTION'!$A$2:$A$20,'DEPARTMENT REFLECTION'!$B$2:$B$20,""),"")</f>
        <v/>
      </c>
      <c r="N61" s="12">
        <f>IFERROR(XLOOKUP(L61,'DEPARTMENT REFLECTION'!$A$2:$A$20,'DEPARTMENT REFLECTION'!$C$2:$C$20,""),"")</f>
        <v/>
      </c>
    </row>
    <row r="62">
      <c r="A62" s="12" t="inlineStr">
        <is>
          <t>Low Kia Sze</t>
        </is>
      </c>
      <c r="B62" s="12" t="inlineStr">
        <is>
          <t>10:00–10:45</t>
        </is>
      </c>
      <c r="C62" s="12" t="inlineStr">
        <is>
          <t>Breakout 1</t>
        </is>
      </c>
      <c r="D62" s="12" t="inlineStr">
        <is>
          <t>Leveraging on the Student Learning Space (SLS) to Enhance Global Literacy</t>
        </is>
      </c>
      <c r="E62" s="12" t="inlineStr">
        <is>
          <t>Niki Lee</t>
        </is>
      </c>
      <c r="F62" s="12" t="inlineStr">
        <is>
          <t>B105</t>
        </is>
      </c>
      <c r="G62" s="12" t="inlineStr">
        <is>
          <t>11:00–11:45</t>
        </is>
      </c>
      <c r="H62" s="12" t="inlineStr">
        <is>
          <t>Breakout 2</t>
        </is>
      </c>
      <c r="I62" s="12" t="inlineStr">
        <is>
          <t>Experimenting with a Pedagogy of Discomfort in the GP Classroom</t>
        </is>
      </c>
      <c r="J62" s="12" t="inlineStr">
        <is>
          <t>Maryam Mohamed Mokhtar</t>
        </is>
      </c>
      <c r="K62" s="12" t="inlineStr">
        <is>
          <t>B109</t>
        </is>
      </c>
      <c r="L62" s="13" t="inlineStr"/>
      <c r="M62" s="12">
        <f>IFERROR(XLOOKUP(L62,'DEPARTMENT REFLECTION'!$A$2:$A$20,'DEPARTMENT REFLECTION'!$B$2:$B$20,""),"")</f>
        <v/>
      </c>
      <c r="N62" s="12">
        <f>IFERROR(XLOOKUP(L62,'DEPARTMENT REFLECTION'!$A$2:$A$20,'DEPARTMENT REFLECTION'!$C$2:$C$20,""),"")</f>
        <v/>
      </c>
    </row>
    <row r="63">
      <c r="A63" s="12" t="inlineStr">
        <is>
          <t>Low Kian Seh</t>
        </is>
      </c>
      <c r="B63" s="12" t="inlineStr">
        <is>
          <t>10:00–10:45</t>
        </is>
      </c>
      <c r="C63" s="12" t="inlineStr">
        <is>
          <t>Breakout 1</t>
        </is>
      </c>
      <c r="D63" s="12" t="inlineStr">
        <is>
          <t>AI and AA: An Attempt at Amalgamation</t>
        </is>
      </c>
      <c r="E63" s="12" t="inlineStr">
        <is>
          <t>Low Kian Seh</t>
        </is>
      </c>
      <c r="F63" s="12" t="inlineStr">
        <is>
          <t>E102</t>
        </is>
      </c>
      <c r="G63" s="12" t="inlineStr">
        <is>
          <t>11:00–11:45</t>
        </is>
      </c>
      <c r="H63" s="12" t="inlineStr">
        <is>
          <t>Breakout 2</t>
        </is>
      </c>
      <c r="I63" s="12" t="inlineStr">
        <is>
          <t>Fostering Critical Thinking and Communication through Real-World Chemistry Projects</t>
        </is>
      </c>
      <c r="J63" s="12" t="inlineStr">
        <is>
          <t>Veron Lee, Joanne Tan &amp; Joel Chung</t>
        </is>
      </c>
      <c r="K63" s="12" t="inlineStr">
        <is>
          <t>E105</t>
        </is>
      </c>
      <c r="L63" s="13" t="inlineStr"/>
      <c r="M63" s="12">
        <f>IFERROR(XLOOKUP(L63,'DEPARTMENT REFLECTION'!$A$2:$A$20,'DEPARTMENT REFLECTION'!$B$2:$B$20,""),"")</f>
        <v/>
      </c>
      <c r="N63" s="12">
        <f>IFERROR(XLOOKUP(L63,'DEPARTMENT REFLECTION'!$A$2:$A$20,'DEPARTMENT REFLECTION'!$C$2:$C$20,""),"")</f>
        <v/>
      </c>
    </row>
    <row r="64">
      <c r="A64" s="12" t="inlineStr">
        <is>
          <t>Mariya Binte Ahmad</t>
        </is>
      </c>
      <c r="B64" s="12" t="inlineStr">
        <is>
          <t>10:00–10:45</t>
        </is>
      </c>
      <c r="C64" s="12" t="inlineStr">
        <is>
          <t>Breakout 1</t>
        </is>
      </c>
      <c r="D64" s="12" t="inlineStr">
        <is>
          <t>Fostering Student Passion in Project Work Using the From Near to Far Framework</t>
        </is>
      </c>
      <c r="E64" s="12" t="inlineStr">
        <is>
          <t>Mariya Ahmad</t>
        </is>
      </c>
      <c r="F64" s="12" t="inlineStr">
        <is>
          <t>E104</t>
        </is>
      </c>
      <c r="G64" s="12" t="inlineStr">
        <is>
          <t>11:00–11:45</t>
        </is>
      </c>
      <c r="H64" s="12" t="inlineStr">
        <is>
          <t>Breakout 2</t>
        </is>
      </c>
      <c r="I64" s="12" t="inlineStr">
        <is>
          <t>Experimenting with a Pedagogy of Discomfort in the GP Classroom</t>
        </is>
      </c>
      <c r="J64" s="12" t="inlineStr">
        <is>
          <t>Maryam Mohamed Mokhtar</t>
        </is>
      </c>
      <c r="K64" s="12" t="inlineStr">
        <is>
          <t>B109</t>
        </is>
      </c>
      <c r="L64" s="13" t="inlineStr"/>
      <c r="M64" s="12">
        <f>IFERROR(XLOOKUP(L64,'DEPARTMENT REFLECTION'!$A$2:$A$20,'DEPARTMENT REFLECTION'!$B$2:$B$20,""),"")</f>
        <v/>
      </c>
      <c r="N64" s="12">
        <f>IFERROR(XLOOKUP(L64,'DEPARTMENT REFLECTION'!$A$2:$A$20,'DEPARTMENT REFLECTION'!$C$2:$C$20,""),"")</f>
        <v/>
      </c>
    </row>
    <row r="65">
      <c r="A65" s="12" t="inlineStr">
        <is>
          <t>Mark Chan</t>
        </is>
      </c>
      <c r="B65" s="12" t="inlineStr">
        <is>
          <t>10:00–10:45</t>
        </is>
      </c>
      <c r="C65" s="12" t="inlineStr">
        <is>
          <t>Breakout 1</t>
        </is>
      </c>
      <c r="D65" s="12" t="inlineStr">
        <is>
          <t>Dialogic Talk for Thoughtful Thinkers</t>
        </is>
      </c>
      <c r="E65" s="12" t="inlineStr">
        <is>
          <t>Sasha Kaur dhillon</t>
        </is>
      </c>
      <c r="F65" s="12" t="inlineStr">
        <is>
          <t>G301</t>
        </is>
      </c>
      <c r="G65" s="12" t="inlineStr">
        <is>
          <t>11:00–11:45</t>
        </is>
      </c>
      <c r="H65" s="12" t="inlineStr">
        <is>
          <t>Breakout 2</t>
        </is>
      </c>
      <c r="I65" s="12" t="inlineStr"/>
      <c r="J65" s="12" t="inlineStr"/>
      <c r="K65" s="12" t="inlineStr"/>
      <c r="L65" s="13" t="inlineStr"/>
      <c r="M65" s="12">
        <f>IFERROR(XLOOKUP(L65,'DEPARTMENT REFLECTION'!$A$2:$A$20,'DEPARTMENT REFLECTION'!$B$2:$B$20,""),"")</f>
        <v/>
      </c>
      <c r="N65" s="12">
        <f>IFERROR(XLOOKUP(L65,'DEPARTMENT REFLECTION'!$A$2:$A$20,'DEPARTMENT REFLECTION'!$C$2:$C$20,""),"")</f>
        <v/>
      </c>
    </row>
    <row r="66">
      <c r="A66" s="12" t="inlineStr">
        <is>
          <t>Maryam Binte Mohamed Mokhtar</t>
        </is>
      </c>
      <c r="B66" s="12" t="inlineStr">
        <is>
          <t>10:00–10:45</t>
        </is>
      </c>
      <c r="C66" s="12" t="inlineStr">
        <is>
          <t>Breakout 1</t>
        </is>
      </c>
      <c r="D66" s="12" t="inlineStr">
        <is>
          <t>Dialogic Talk for Thoughtful Thinkers</t>
        </is>
      </c>
      <c r="E66" s="12" t="inlineStr">
        <is>
          <t>Sasha Kaur dhillon</t>
        </is>
      </c>
      <c r="F66" s="12" t="inlineStr">
        <is>
          <t>G301</t>
        </is>
      </c>
      <c r="G66" s="12" t="inlineStr">
        <is>
          <t>11:00–11:45</t>
        </is>
      </c>
      <c r="H66" s="12" t="inlineStr">
        <is>
          <t>Breakout 2</t>
        </is>
      </c>
      <c r="I66" s="12" t="inlineStr">
        <is>
          <t>Experimenting with a Pedagogy of Discomfort in the GP Classroom</t>
        </is>
      </c>
      <c r="J66" s="12" t="inlineStr">
        <is>
          <t>Maryam Mohamed Mokhtar</t>
        </is>
      </c>
      <c r="K66" s="12" t="inlineStr">
        <is>
          <t>B109</t>
        </is>
      </c>
      <c r="L66" s="13" t="inlineStr"/>
      <c r="M66" s="12">
        <f>IFERROR(XLOOKUP(L66,'DEPARTMENT REFLECTION'!$A$2:$A$20,'DEPARTMENT REFLECTION'!$B$2:$B$20,""),"")</f>
        <v/>
      </c>
      <c r="N66" s="12">
        <f>IFERROR(XLOOKUP(L66,'DEPARTMENT REFLECTION'!$A$2:$A$20,'DEPARTMENT REFLECTION'!$C$2:$C$20,""),"")</f>
        <v/>
      </c>
    </row>
    <row r="67">
      <c r="A67" s="12" t="inlineStr">
        <is>
          <t>Mok Yuerong Esther</t>
        </is>
      </c>
      <c r="B67" s="12" t="inlineStr">
        <is>
          <t>10:00–10:45</t>
        </is>
      </c>
      <c r="C67" s="12" t="inlineStr">
        <is>
          <t>Breakout 1</t>
        </is>
      </c>
      <c r="D67" s="12" t="inlineStr">
        <is>
          <t>Dialogic Talk for Thoughtful Thinkers</t>
        </is>
      </c>
      <c r="E67" s="12" t="inlineStr">
        <is>
          <t>Sasha Kaur dhillon</t>
        </is>
      </c>
      <c r="F67" s="12" t="inlineStr">
        <is>
          <t>G301</t>
        </is>
      </c>
      <c r="G67" s="12" t="inlineStr">
        <is>
          <t>11:00–11:45</t>
        </is>
      </c>
      <c r="H67" s="12" t="inlineStr">
        <is>
          <t>Breakout 2</t>
        </is>
      </c>
      <c r="I67" s="12" t="inlineStr">
        <is>
          <t>Evidence-Driven Decision-Making: Using Student Data to Complement Teacher Observations</t>
        </is>
      </c>
      <c r="J67" s="12" t="inlineStr">
        <is>
          <t>Christabelle Soh</t>
        </is>
      </c>
      <c r="K67" s="12" t="inlineStr">
        <is>
          <t>B106</t>
        </is>
      </c>
      <c r="L67" s="13" t="inlineStr"/>
      <c r="M67" s="12">
        <f>IFERROR(XLOOKUP(L67,'DEPARTMENT REFLECTION'!$A$2:$A$20,'DEPARTMENT REFLECTION'!$B$2:$B$20,""),"")</f>
        <v/>
      </c>
      <c r="N67" s="12">
        <f>IFERROR(XLOOKUP(L67,'DEPARTMENT REFLECTION'!$A$2:$A$20,'DEPARTMENT REFLECTION'!$C$2:$C$20,""),"")</f>
        <v/>
      </c>
    </row>
    <row r="68">
      <c r="A68" s="12" t="inlineStr">
        <is>
          <t>Nam Aileen Mrs.Lim Kai Chuan Aileen</t>
        </is>
      </c>
      <c r="B68" s="12" t="inlineStr">
        <is>
          <t>10:00–10:45</t>
        </is>
      </c>
      <c r="C68" s="12" t="inlineStr">
        <is>
          <t>Breakout 1</t>
        </is>
      </c>
      <c r="D68" s="12" t="inlineStr">
        <is>
          <t>AI and AA: An Attempt at Amalgamation</t>
        </is>
      </c>
      <c r="E68" s="12" t="inlineStr">
        <is>
          <t>Low Kian Seh</t>
        </is>
      </c>
      <c r="F68" s="12" t="inlineStr">
        <is>
          <t>E102</t>
        </is>
      </c>
      <c r="G68" s="12" t="inlineStr">
        <is>
          <t>11:00–11:45</t>
        </is>
      </c>
      <c r="H68" s="12" t="inlineStr">
        <is>
          <t>Breakout 2</t>
        </is>
      </c>
      <c r="I68" s="12" t="inlineStr">
        <is>
          <t>Evidence-Driven Decision-Making: Using Student Data to Complement Teacher Observations</t>
        </is>
      </c>
      <c r="J68" s="12" t="inlineStr">
        <is>
          <t>Christabelle Soh</t>
        </is>
      </c>
      <c r="K68" s="12" t="inlineStr">
        <is>
          <t>B106</t>
        </is>
      </c>
      <c r="L68" s="13" t="inlineStr"/>
      <c r="M68" s="12">
        <f>IFERROR(XLOOKUP(L68,'DEPARTMENT REFLECTION'!$A$2:$A$20,'DEPARTMENT REFLECTION'!$B$2:$B$20,""),"")</f>
        <v/>
      </c>
      <c r="N68" s="12">
        <f>IFERROR(XLOOKUP(L68,'DEPARTMENT REFLECTION'!$A$2:$A$20,'DEPARTMENT REFLECTION'!$C$2:$C$20,""),"")</f>
        <v/>
      </c>
    </row>
    <row r="69">
      <c r="A69" s="12" t="inlineStr">
        <is>
          <t>Neo Kian Siah</t>
        </is>
      </c>
      <c r="B69" s="12" t="inlineStr">
        <is>
          <t>10:00–10:45</t>
        </is>
      </c>
      <c r="C69" s="12" t="inlineStr">
        <is>
          <t>Breakout 1</t>
        </is>
      </c>
      <c r="D69" s="12" t="inlineStr">
        <is>
          <t>AI in Mathematics: See the Thinking, Shape the Learning, Spark Joy</t>
        </is>
      </c>
      <c r="E69" s="12" t="inlineStr">
        <is>
          <t>Ng Lay Ling</t>
        </is>
      </c>
      <c r="F69" s="12" t="inlineStr">
        <is>
          <t>B109</t>
        </is>
      </c>
      <c r="G69" s="12" t="inlineStr">
        <is>
          <t>11:00–11:45</t>
        </is>
      </c>
      <c r="H69" s="12" t="inlineStr">
        <is>
          <t>Breakout 2</t>
        </is>
      </c>
      <c r="I69" s="12" t="inlineStr">
        <is>
          <t>Use of Brisk Teaching: Practical Strategies to Develop Metacognition and Adaptive Thinking through Form</t>
        </is>
      </c>
      <c r="J69" s="12" t="inlineStr">
        <is>
          <t>Alan Varella &amp; Cyrene Tan</t>
        </is>
      </c>
      <c r="K69" s="12" t="inlineStr">
        <is>
          <t>E104</t>
        </is>
      </c>
      <c r="L69" s="13" t="inlineStr"/>
      <c r="M69" s="12">
        <f>IFERROR(XLOOKUP(L69,'DEPARTMENT REFLECTION'!$A$2:$A$20,'DEPARTMENT REFLECTION'!$B$2:$B$20,""),"")</f>
        <v/>
      </c>
      <c r="N69" s="12">
        <f>IFERROR(XLOOKUP(L69,'DEPARTMENT REFLECTION'!$A$2:$A$20,'DEPARTMENT REFLECTION'!$C$2:$C$20,""),"")</f>
        <v/>
      </c>
    </row>
    <row r="70">
      <c r="A70" s="12" t="inlineStr">
        <is>
          <t>Ng Ee Lin Evelyn</t>
        </is>
      </c>
      <c r="B70" s="12" t="inlineStr">
        <is>
          <t>10:00–10:45</t>
        </is>
      </c>
      <c r="C70" s="12" t="inlineStr">
        <is>
          <t>Breakout 1</t>
        </is>
      </c>
      <c r="D70" s="12" t="inlineStr">
        <is>
          <t>Leveraging on the Student Learning Space (SLS) to Enhance Global Literacy</t>
        </is>
      </c>
      <c r="E70" s="12" t="inlineStr">
        <is>
          <t>Niki Lee</t>
        </is>
      </c>
      <c r="F70" s="12" t="inlineStr">
        <is>
          <t>B105</t>
        </is>
      </c>
      <c r="G70" s="12" t="inlineStr">
        <is>
          <t>11:00–11:45</t>
        </is>
      </c>
      <c r="H70" s="12" t="inlineStr">
        <is>
          <t>Breakout 2</t>
        </is>
      </c>
      <c r="I70" s="12" t="inlineStr">
        <is>
          <t>AIMS vs Gemini: What AI Feedback Reveals About Student Writing (And What It Might Not)</t>
        </is>
      </c>
      <c r="J70" s="12" t="inlineStr">
        <is>
          <t>Irene Kuek &amp; Lin Pei-Chen</t>
        </is>
      </c>
      <c r="K70" s="12" t="inlineStr">
        <is>
          <t>E103</t>
        </is>
      </c>
      <c r="L70" s="13" t="inlineStr"/>
      <c r="M70" s="12">
        <f>IFERROR(XLOOKUP(L70,'DEPARTMENT REFLECTION'!$A$2:$A$20,'DEPARTMENT REFLECTION'!$B$2:$B$20,""),"")</f>
        <v/>
      </c>
      <c r="N70" s="12">
        <f>IFERROR(XLOOKUP(L70,'DEPARTMENT REFLECTION'!$A$2:$A$20,'DEPARTMENT REFLECTION'!$C$2:$C$20,""),"")</f>
        <v/>
      </c>
    </row>
    <row r="71">
      <c r="A71" s="12" t="inlineStr">
        <is>
          <t>Ng Lay Ling</t>
        </is>
      </c>
      <c r="B71" s="12" t="inlineStr">
        <is>
          <t>10:00–10:45</t>
        </is>
      </c>
      <c r="C71" s="12" t="inlineStr">
        <is>
          <t>Breakout 1</t>
        </is>
      </c>
      <c r="D71" s="12" t="inlineStr">
        <is>
          <t>AI in Mathematics: See the Thinking, Shape the Learning, Spark Joy</t>
        </is>
      </c>
      <c r="E71" s="12" t="inlineStr">
        <is>
          <t>Ng Lay Ling</t>
        </is>
      </c>
      <c r="F71" s="12" t="inlineStr">
        <is>
          <t>B109</t>
        </is>
      </c>
      <c r="G71" s="12" t="inlineStr">
        <is>
          <t>11:00–11:45</t>
        </is>
      </c>
      <c r="H71" s="12" t="inlineStr">
        <is>
          <t>Breakout 2</t>
        </is>
      </c>
      <c r="I71" s="12" t="inlineStr">
        <is>
          <t>Redesigning Mathematics Learning: Our ILP Journey and Pedagogical Shifts</t>
        </is>
      </c>
      <c r="J71" s="12" t="inlineStr">
        <is>
          <t>Kelvin Ng &amp; Leonard Lau</t>
        </is>
      </c>
      <c r="K71" s="12" t="inlineStr">
        <is>
          <t>E102</t>
        </is>
      </c>
      <c r="L71" s="13" t="inlineStr"/>
      <c r="M71" s="12">
        <f>IFERROR(XLOOKUP(L71,'DEPARTMENT REFLECTION'!$A$2:$A$20,'DEPARTMENT REFLECTION'!$B$2:$B$20,""),"")</f>
        <v/>
      </c>
      <c r="N71" s="12">
        <f>IFERROR(XLOOKUP(L71,'DEPARTMENT REFLECTION'!$A$2:$A$20,'DEPARTMENT REFLECTION'!$C$2:$C$20,""),"")</f>
        <v/>
      </c>
    </row>
    <row r="72">
      <c r="A72" s="12" t="inlineStr">
        <is>
          <t>Ng Seng Chang</t>
        </is>
      </c>
      <c r="B72" s="12" t="inlineStr">
        <is>
          <t>10:00–10:45</t>
        </is>
      </c>
      <c r="C72" s="12" t="inlineStr">
        <is>
          <t>Breakout 1</t>
        </is>
      </c>
      <c r="D72" s="12" t="inlineStr">
        <is>
          <t>AI and AA: An Attempt at Amalgamation</t>
        </is>
      </c>
      <c r="E72" s="12" t="inlineStr">
        <is>
          <t>Low Kian Seh</t>
        </is>
      </c>
      <c r="F72" s="12" t="inlineStr">
        <is>
          <t>E102</t>
        </is>
      </c>
      <c r="G72" s="12" t="inlineStr">
        <is>
          <t>11:00–11:45</t>
        </is>
      </c>
      <c r="H72" s="12" t="inlineStr">
        <is>
          <t>Breakout 2</t>
        </is>
      </c>
      <c r="I72" s="12" t="inlineStr">
        <is>
          <t>Redesigning Mathematics Learning: Our ILP Journey and Pedagogical Shifts</t>
        </is>
      </c>
      <c r="J72" s="12" t="inlineStr">
        <is>
          <t>Kelvin Ng &amp; Leonard Lau</t>
        </is>
      </c>
      <c r="K72" s="12" t="inlineStr">
        <is>
          <t>E102</t>
        </is>
      </c>
      <c r="L72" s="13" t="inlineStr"/>
      <c r="M72" s="12">
        <f>IFERROR(XLOOKUP(L72,'DEPARTMENT REFLECTION'!$A$2:$A$20,'DEPARTMENT REFLECTION'!$B$2:$B$20,""),"")</f>
        <v/>
      </c>
      <c r="N72" s="12">
        <f>IFERROR(XLOOKUP(L72,'DEPARTMENT REFLECTION'!$A$2:$A$20,'DEPARTMENT REFLECTION'!$C$2:$C$20,""),"")</f>
        <v/>
      </c>
    </row>
    <row r="73">
      <c r="A73" s="12" t="inlineStr">
        <is>
          <t>Ng Wei Ling</t>
        </is>
      </c>
      <c r="B73" s="12" t="inlineStr">
        <is>
          <t>10:00–10:45</t>
        </is>
      </c>
      <c r="C73" s="12" t="inlineStr">
        <is>
          <t>Breakout 1</t>
        </is>
      </c>
      <c r="D73" s="12" t="inlineStr">
        <is>
          <t>AI in Mathematics: See the Thinking, Shape the Learning, Spark Joy</t>
        </is>
      </c>
      <c r="E73" s="12" t="inlineStr">
        <is>
          <t>Ng Lay Ling</t>
        </is>
      </c>
      <c r="F73" s="12" t="inlineStr">
        <is>
          <t>B109</t>
        </is>
      </c>
      <c r="G73" s="12" t="inlineStr">
        <is>
          <t>11:00–11:45</t>
        </is>
      </c>
      <c r="H73" s="12" t="inlineStr">
        <is>
          <t>Breakout 2</t>
        </is>
      </c>
      <c r="I73" s="12" t="inlineStr">
        <is>
          <t>AIMS vs Gemini: What AI Feedback Reveals About Student Writing (And What It Might Not)</t>
        </is>
      </c>
      <c r="J73" s="12" t="inlineStr">
        <is>
          <t>Irene Kuek &amp; Lin Pei-Chen</t>
        </is>
      </c>
      <c r="K73" s="12" t="inlineStr">
        <is>
          <t>E103</t>
        </is>
      </c>
      <c r="L73" s="13" t="inlineStr"/>
      <c r="M73" s="12">
        <f>IFERROR(XLOOKUP(L73,'DEPARTMENT REFLECTION'!$A$2:$A$20,'DEPARTMENT REFLECTION'!$B$2:$B$20,""),"")</f>
        <v/>
      </c>
      <c r="N73" s="12">
        <f>IFERROR(XLOOKUP(L73,'DEPARTMENT REFLECTION'!$A$2:$A$20,'DEPARTMENT REFLECTION'!$C$2:$C$20,""),"")</f>
        <v/>
      </c>
    </row>
    <row r="74">
      <c r="A74" s="12" t="inlineStr">
        <is>
          <t>Ng Yon Tek, Kevin</t>
        </is>
      </c>
      <c r="B74" s="12" t="inlineStr">
        <is>
          <t>10:00–10:45</t>
        </is>
      </c>
      <c r="C74" s="12" t="inlineStr">
        <is>
          <t>Breakout 1</t>
        </is>
      </c>
      <c r="D74" s="12" t="inlineStr">
        <is>
          <t>Dialogic Talk for Thoughtful Thinkers</t>
        </is>
      </c>
      <c r="E74" s="12" t="inlineStr">
        <is>
          <t>Sasha Kaur dhillon</t>
        </is>
      </c>
      <c r="F74" s="12" t="inlineStr">
        <is>
          <t>G301</t>
        </is>
      </c>
      <c r="G74" s="12" t="inlineStr">
        <is>
          <t>11:00–11:45</t>
        </is>
      </c>
      <c r="H74" s="12" t="inlineStr">
        <is>
          <t>Breakout 2</t>
        </is>
      </c>
      <c r="I74" s="12" t="inlineStr">
        <is>
          <t>Redesigning Mathematics Learning: Our ILP Journey and Pedagogical Shifts</t>
        </is>
      </c>
      <c r="J74" s="12" t="inlineStr">
        <is>
          <t>Kelvin Ng &amp; Leonard Lau</t>
        </is>
      </c>
      <c r="K74" s="12" t="inlineStr">
        <is>
          <t>E102</t>
        </is>
      </c>
      <c r="L74" s="13" t="inlineStr"/>
      <c r="M74" s="12">
        <f>IFERROR(XLOOKUP(L74,'DEPARTMENT REFLECTION'!$A$2:$A$20,'DEPARTMENT REFLECTION'!$B$2:$B$20,""),"")</f>
        <v/>
      </c>
      <c r="N74" s="12">
        <f>IFERROR(XLOOKUP(L74,'DEPARTMENT REFLECTION'!$A$2:$A$20,'DEPARTMENT REFLECTION'!$C$2:$C$20,""),"")</f>
        <v/>
      </c>
    </row>
    <row r="75">
      <c r="A75" s="12" t="inlineStr">
        <is>
          <t>Ngoh Kheng Kiat</t>
        </is>
      </c>
      <c r="B75" s="12" t="inlineStr">
        <is>
          <t>10:00–10:45</t>
        </is>
      </c>
      <c r="C75" s="12" t="inlineStr">
        <is>
          <t>Breakout 1</t>
        </is>
      </c>
      <c r="D75" s="12" t="inlineStr">
        <is>
          <t>AI in Mathematics: See the Thinking, Shape the Learning, Spark Joy</t>
        </is>
      </c>
      <c r="E75" s="12" t="inlineStr">
        <is>
          <t>Ng Lay Ling</t>
        </is>
      </c>
      <c r="F75" s="12" t="inlineStr">
        <is>
          <t>B109</t>
        </is>
      </c>
      <c r="G75" s="12" t="inlineStr">
        <is>
          <t>11:00–11:45</t>
        </is>
      </c>
      <c r="H75" s="12" t="inlineStr">
        <is>
          <t>Breakout 2</t>
        </is>
      </c>
      <c r="I75" s="12" t="inlineStr">
        <is>
          <t>Redesigning Mathematics Learning: Our ILP Journey and Pedagogical Shifts</t>
        </is>
      </c>
      <c r="J75" s="12" t="inlineStr">
        <is>
          <t>Kelvin Ng &amp; Leonard Lau</t>
        </is>
      </c>
      <c r="K75" s="12" t="inlineStr">
        <is>
          <t>E102</t>
        </is>
      </c>
      <c r="L75" s="13" t="inlineStr"/>
      <c r="M75" s="12">
        <f>IFERROR(XLOOKUP(L75,'DEPARTMENT REFLECTION'!$A$2:$A$20,'DEPARTMENT REFLECTION'!$B$2:$B$20,""),"")</f>
        <v/>
      </c>
      <c r="N75" s="12">
        <f>IFERROR(XLOOKUP(L75,'DEPARTMENT REFLECTION'!$A$2:$A$20,'DEPARTMENT REFLECTION'!$C$2:$C$20,""),"")</f>
        <v/>
      </c>
    </row>
    <row r="76">
      <c r="A76" s="12" t="inlineStr">
        <is>
          <t>Noraziah Binte Abdul Aziz</t>
        </is>
      </c>
      <c r="B76" s="12" t="inlineStr">
        <is>
          <t>10:00–10:45</t>
        </is>
      </c>
      <c r="C76" s="12" t="inlineStr">
        <is>
          <t>Breakout 1</t>
        </is>
      </c>
      <c r="D76" s="12" t="inlineStr">
        <is>
          <t>Dialogic Talk for Thoughtful Thinkers</t>
        </is>
      </c>
      <c r="E76" s="12" t="inlineStr">
        <is>
          <t>Sasha Kaur dhillon</t>
        </is>
      </c>
      <c r="F76" s="12" t="inlineStr">
        <is>
          <t>G301</t>
        </is>
      </c>
      <c r="G76" s="12" t="inlineStr">
        <is>
          <t>11:00–11:45</t>
        </is>
      </c>
      <c r="H76" s="12" t="inlineStr">
        <is>
          <t>Breakout 2</t>
        </is>
      </c>
      <c r="I76" s="12" t="inlineStr">
        <is>
          <t>Experimenting with a Pedagogy of Discomfort in the GP Classroom</t>
        </is>
      </c>
      <c r="J76" s="12" t="inlineStr">
        <is>
          <t>Maryam Mohamed Mokhtar</t>
        </is>
      </c>
      <c r="K76" s="12" t="inlineStr">
        <is>
          <t>B109</t>
        </is>
      </c>
      <c r="L76" s="13" t="inlineStr"/>
      <c r="M76" s="12">
        <f>IFERROR(XLOOKUP(L76,'DEPARTMENT REFLECTION'!$A$2:$A$20,'DEPARTMENT REFLECTION'!$B$2:$B$20,""),"")</f>
        <v/>
      </c>
      <c r="N76" s="12">
        <f>IFERROR(XLOOKUP(L76,'DEPARTMENT REFLECTION'!$A$2:$A$20,'DEPARTMENT REFLECTION'!$C$2:$C$20,""),"")</f>
        <v/>
      </c>
    </row>
    <row r="77">
      <c r="A77" s="12" t="inlineStr">
        <is>
          <t>Nuryani Binte Suneh</t>
        </is>
      </c>
      <c r="B77" s="12" t="inlineStr">
        <is>
          <t>10:00–10:45</t>
        </is>
      </c>
      <c r="C77" s="12" t="inlineStr">
        <is>
          <t>Breakout 1</t>
        </is>
      </c>
      <c r="D77" s="12" t="inlineStr">
        <is>
          <t>Dialogic Talk for Thoughtful Thinkers</t>
        </is>
      </c>
      <c r="E77" s="12" t="inlineStr">
        <is>
          <t>Sasha Kaur dhillon</t>
        </is>
      </c>
      <c r="F77" s="12" t="inlineStr">
        <is>
          <t>G301</t>
        </is>
      </c>
      <c r="G77" s="12" t="inlineStr">
        <is>
          <t>11:00–11:45</t>
        </is>
      </c>
      <c r="H77" s="12" t="inlineStr">
        <is>
          <t>Breakout 2</t>
        </is>
      </c>
      <c r="I77" s="12" t="inlineStr">
        <is>
          <t>Empowering Students to Understand Concepts, Not Just Content</t>
        </is>
      </c>
      <c r="J77" s="12" t="inlineStr">
        <is>
          <t>Trevor Tay &amp; Nuryani Suneh</t>
        </is>
      </c>
      <c r="K77" s="12" t="inlineStr">
        <is>
          <t>B110</t>
        </is>
      </c>
      <c r="L77" s="13" t="inlineStr"/>
      <c r="M77" s="12">
        <f>IFERROR(XLOOKUP(L77,'DEPARTMENT REFLECTION'!$A$2:$A$20,'DEPARTMENT REFLECTION'!$B$2:$B$20,""),"")</f>
        <v/>
      </c>
      <c r="N77" s="12">
        <f>IFERROR(XLOOKUP(L77,'DEPARTMENT REFLECTION'!$A$2:$A$20,'DEPARTMENT REFLECTION'!$C$2:$C$20,""),"")</f>
        <v/>
      </c>
    </row>
    <row r="78">
      <c r="A78" s="12" t="inlineStr">
        <is>
          <t>Ong Lay Pheng</t>
        </is>
      </c>
      <c r="B78" s="12" t="inlineStr">
        <is>
          <t>10:00–10:45</t>
        </is>
      </c>
      <c r="C78" s="12" t="inlineStr">
        <is>
          <t>Breakout 1</t>
        </is>
      </c>
      <c r="D78" s="12" t="inlineStr">
        <is>
          <t>AI-ding Students' Preparation for Oral Examinations: 6. Using Technology for Real-World Skills</t>
        </is>
      </c>
      <c r="E78" s="12" t="inlineStr">
        <is>
          <t>Ho Jia Xuan Jane</t>
        </is>
      </c>
      <c r="F78" s="12" t="inlineStr">
        <is>
          <t>E101</t>
        </is>
      </c>
      <c r="G78" s="12" t="inlineStr">
        <is>
          <t>11:00–11:45</t>
        </is>
      </c>
      <c r="H78" s="12" t="inlineStr">
        <is>
          <t>Breakout 2</t>
        </is>
      </c>
      <c r="I78" s="12" t="inlineStr">
        <is>
          <t>AIMS vs Gemini: What AI Feedback Reveals About Student Writing (And What It Might Not)</t>
        </is>
      </c>
      <c r="J78" s="12" t="inlineStr">
        <is>
          <t>Irene Kuek &amp; Lin Pei-Chen</t>
        </is>
      </c>
      <c r="K78" s="12" t="inlineStr">
        <is>
          <t>E103</t>
        </is>
      </c>
      <c r="L78" s="13" t="inlineStr"/>
      <c r="M78" s="12">
        <f>IFERROR(XLOOKUP(L78,'DEPARTMENT REFLECTION'!$A$2:$A$20,'DEPARTMENT REFLECTION'!$B$2:$B$20,""),"")</f>
        <v/>
      </c>
      <c r="N78" s="12">
        <f>IFERROR(XLOOKUP(L78,'DEPARTMENT REFLECTION'!$A$2:$A$20,'DEPARTMENT REFLECTION'!$C$2:$C$20,""),"")</f>
        <v/>
      </c>
    </row>
    <row r="79">
      <c r="A79" s="12" t="inlineStr">
        <is>
          <t>P K Mathimugan</t>
        </is>
      </c>
      <c r="B79" s="12" t="inlineStr">
        <is>
          <t>10:00–10:45</t>
        </is>
      </c>
      <c r="C79" s="12" t="inlineStr">
        <is>
          <t>Breakout 1</t>
        </is>
      </c>
      <c r="D79" s="12" t="inlineStr">
        <is>
          <t>Dialogic Talk for Thoughtful Thinkers</t>
        </is>
      </c>
      <c r="E79" s="12" t="inlineStr">
        <is>
          <t>Sasha Kaur dhillon</t>
        </is>
      </c>
      <c r="F79" s="12" t="inlineStr">
        <is>
          <t>G301</t>
        </is>
      </c>
      <c r="G79" s="12" t="inlineStr">
        <is>
          <t>11:00–11:45</t>
        </is>
      </c>
      <c r="H79" s="12" t="inlineStr">
        <is>
          <t>Breakout 2</t>
        </is>
      </c>
      <c r="I79" s="12" t="inlineStr">
        <is>
          <t>Cultivating Self-Directedness, Co-Constructing Success</t>
        </is>
      </c>
      <c r="J79" s="12" t="inlineStr">
        <is>
          <t>Anuthama &amp; Esther Wang</t>
        </is>
      </c>
      <c r="K79" s="12" t="inlineStr">
        <is>
          <t>E101</t>
        </is>
      </c>
      <c r="L79" s="13" t="inlineStr"/>
      <c r="M79" s="12">
        <f>IFERROR(XLOOKUP(L79,'DEPARTMENT REFLECTION'!$A$2:$A$20,'DEPARTMENT REFLECTION'!$B$2:$B$20,""),"")</f>
        <v/>
      </c>
      <c r="N79" s="12">
        <f>IFERROR(XLOOKUP(L79,'DEPARTMENT REFLECTION'!$A$2:$A$20,'DEPARTMENT REFLECTION'!$C$2:$C$20,""),"")</f>
        <v/>
      </c>
    </row>
    <row r="80">
      <c r="A80" s="12" t="inlineStr">
        <is>
          <t>Pan Xu</t>
        </is>
      </c>
      <c r="B80" s="12" t="inlineStr">
        <is>
          <t>10:00–10:45</t>
        </is>
      </c>
      <c r="C80" s="12" t="inlineStr">
        <is>
          <t>Breakout 1</t>
        </is>
      </c>
      <c r="D80" s="12" t="inlineStr">
        <is>
          <t>AI-ding Students' Preparation for Oral Examinations: 6. Using Technology for Real-World Skills</t>
        </is>
      </c>
      <c r="E80" s="12" t="inlineStr">
        <is>
          <t>Ho Jia Xuan Jane</t>
        </is>
      </c>
      <c r="F80" s="12" t="inlineStr">
        <is>
          <t>E101</t>
        </is>
      </c>
      <c r="G80" s="12" t="inlineStr">
        <is>
          <t>11:00–11:45</t>
        </is>
      </c>
      <c r="H80" s="12" t="inlineStr">
        <is>
          <t>Breakout 2</t>
        </is>
      </c>
      <c r="I80" s="12" t="inlineStr">
        <is>
          <t>AIMS vs Gemini: What AI Feedback Reveals About Student Writing (And What It Might Not)</t>
        </is>
      </c>
      <c r="J80" s="12" t="inlineStr">
        <is>
          <t>Irene Kuek &amp; Lin Pei-Chen</t>
        </is>
      </c>
      <c r="K80" s="12" t="inlineStr">
        <is>
          <t>E103</t>
        </is>
      </c>
      <c r="L80" s="13" t="inlineStr"/>
      <c r="M80" s="12">
        <f>IFERROR(XLOOKUP(L80,'DEPARTMENT REFLECTION'!$A$2:$A$20,'DEPARTMENT REFLECTION'!$B$2:$B$20,""),"")</f>
        <v/>
      </c>
      <c r="N80" s="12">
        <f>IFERROR(XLOOKUP(L80,'DEPARTMENT REFLECTION'!$A$2:$A$20,'DEPARTMENT REFLECTION'!$C$2:$C$20,""),"")</f>
        <v/>
      </c>
    </row>
    <row r="81">
      <c r="A81" s="12" t="inlineStr">
        <is>
          <t>Peck Chee Siong</t>
        </is>
      </c>
      <c r="B81" s="12" t="inlineStr">
        <is>
          <t>10:00–10:45</t>
        </is>
      </c>
      <c r="C81" s="12" t="inlineStr">
        <is>
          <t>Breakout 1</t>
        </is>
      </c>
      <c r="D81" s="12" t="inlineStr">
        <is>
          <t>Leveraging on the Student Learning Space (SLS) to Enhance Global Literacy</t>
        </is>
      </c>
      <c r="E81" s="12" t="inlineStr">
        <is>
          <t>Niki Lee</t>
        </is>
      </c>
      <c r="F81" s="12" t="inlineStr">
        <is>
          <t>B105</t>
        </is>
      </c>
      <c r="G81" s="12" t="inlineStr">
        <is>
          <t>11:00–11:45</t>
        </is>
      </c>
      <c r="H81" s="12" t="inlineStr">
        <is>
          <t>Breakout 2</t>
        </is>
      </c>
      <c r="I81" s="12" t="inlineStr">
        <is>
          <t>AI as Feedback, Not Fallback: Developing Critical Thinking Using AI</t>
        </is>
      </c>
      <c r="J81" s="12" t="inlineStr">
        <is>
          <t>Chen Ying &amp; Brendon Chee</t>
        </is>
      </c>
      <c r="K81" s="12" t="inlineStr">
        <is>
          <t>B105</t>
        </is>
      </c>
      <c r="L81" s="13" t="inlineStr"/>
      <c r="M81" s="12">
        <f>IFERROR(XLOOKUP(L81,'DEPARTMENT REFLECTION'!$A$2:$A$20,'DEPARTMENT REFLECTION'!$B$2:$B$20,""),"")</f>
        <v/>
      </c>
      <c r="N81" s="12">
        <f>IFERROR(XLOOKUP(L81,'DEPARTMENT REFLECTION'!$A$2:$A$20,'DEPARTMENT REFLECTION'!$C$2:$C$20,""),"")</f>
        <v/>
      </c>
    </row>
    <row r="82">
      <c r="A82" s="12" t="inlineStr">
        <is>
          <t>Pek Qu Zhi</t>
        </is>
      </c>
      <c r="B82" s="12" t="inlineStr">
        <is>
          <t>10:00–10:45</t>
        </is>
      </c>
      <c r="C82" s="12" t="inlineStr">
        <is>
          <t>Breakout 1</t>
        </is>
      </c>
      <c r="D82" s="12" t="inlineStr">
        <is>
          <t>AI in Mathematics: See the Thinking, Shape the Learning, Spark Joy</t>
        </is>
      </c>
      <c r="E82" s="12" t="inlineStr">
        <is>
          <t>Ng Lay Ling</t>
        </is>
      </c>
      <c r="F82" s="12" t="inlineStr">
        <is>
          <t>B109</t>
        </is>
      </c>
      <c r="G82" s="12" t="inlineStr">
        <is>
          <t>11:00–11:45</t>
        </is>
      </c>
      <c r="H82" s="12" t="inlineStr">
        <is>
          <t>Breakout 2</t>
        </is>
      </c>
      <c r="I82" s="12" t="inlineStr">
        <is>
          <t>Redesigning Mathematics Learning: Our ILP Journey and Pedagogical Shifts</t>
        </is>
      </c>
      <c r="J82" s="12" t="inlineStr">
        <is>
          <t>Kelvin Ng &amp; Leonard Lau</t>
        </is>
      </c>
      <c r="K82" s="12" t="inlineStr">
        <is>
          <t>E102</t>
        </is>
      </c>
      <c r="L82" s="13" t="inlineStr"/>
      <c r="M82" s="12">
        <f>IFERROR(XLOOKUP(L82,'DEPARTMENT REFLECTION'!$A$2:$A$20,'DEPARTMENT REFLECTION'!$B$2:$B$20,""),"")</f>
        <v/>
      </c>
      <c r="N82" s="12">
        <f>IFERROR(XLOOKUP(L82,'DEPARTMENT REFLECTION'!$A$2:$A$20,'DEPARTMENT REFLECTION'!$C$2:$C$20,""),"")</f>
        <v/>
      </c>
    </row>
    <row r="83">
      <c r="A83" s="12" t="inlineStr">
        <is>
          <t>Pung Yuen Mei Evangeline</t>
        </is>
      </c>
      <c r="B83" s="12" t="inlineStr">
        <is>
          <t>10:00–10:45</t>
        </is>
      </c>
      <c r="C83" s="12" t="inlineStr">
        <is>
          <t>Breakout 1</t>
        </is>
      </c>
      <c r="D83" s="12" t="inlineStr">
        <is>
          <t>Dialogic Talk for Thoughtful Thinkers</t>
        </is>
      </c>
      <c r="E83" s="12" t="inlineStr">
        <is>
          <t>Sasha Kaur dhillon</t>
        </is>
      </c>
      <c r="F83" s="12" t="inlineStr">
        <is>
          <t>G301</t>
        </is>
      </c>
      <c r="G83" s="12" t="inlineStr">
        <is>
          <t>11:00–11:45</t>
        </is>
      </c>
      <c r="H83" s="12" t="inlineStr">
        <is>
          <t>Breakout 2</t>
        </is>
      </c>
      <c r="I83" s="12" t="inlineStr">
        <is>
          <t>Evidence-Driven Decision-Making: Using Student Data to Complement Teacher Observations</t>
        </is>
      </c>
      <c r="J83" s="12" t="inlineStr">
        <is>
          <t>Christabelle Soh</t>
        </is>
      </c>
      <c r="K83" s="12" t="inlineStr">
        <is>
          <t>B106</t>
        </is>
      </c>
      <c r="L83" s="13" t="inlineStr"/>
      <c r="M83" s="12">
        <f>IFERROR(XLOOKUP(L83,'DEPARTMENT REFLECTION'!$A$2:$A$20,'DEPARTMENT REFLECTION'!$B$2:$B$20,""),"")</f>
        <v/>
      </c>
      <c r="N83" s="12">
        <f>IFERROR(XLOOKUP(L83,'DEPARTMENT REFLECTION'!$A$2:$A$20,'DEPARTMENT REFLECTION'!$C$2:$C$20,""),"")</f>
        <v/>
      </c>
    </row>
    <row r="84">
      <c r="A84" s="12" t="inlineStr">
        <is>
          <t>R Santha</t>
        </is>
      </c>
      <c r="B84" s="12" t="inlineStr">
        <is>
          <t>10:00–10:45</t>
        </is>
      </c>
      <c r="C84" s="12" t="inlineStr">
        <is>
          <t>Breakout 1</t>
        </is>
      </c>
      <c r="D84" s="12" t="inlineStr">
        <is>
          <t>AI-ding Students' Preparation for Oral Examinations: 6. Using Technology for Real-World Skills</t>
        </is>
      </c>
      <c r="E84" s="12" t="inlineStr">
        <is>
          <t>Ho Jia Xuan Jane</t>
        </is>
      </c>
      <c r="F84" s="12" t="inlineStr">
        <is>
          <t>E101</t>
        </is>
      </c>
      <c r="G84" s="12" t="inlineStr">
        <is>
          <t>11:00–11:45</t>
        </is>
      </c>
      <c r="H84" s="12" t="inlineStr">
        <is>
          <t>Breakout 2</t>
        </is>
      </c>
      <c r="I84" s="12" t="inlineStr">
        <is>
          <t>AIMS vs Gemini: What AI Feedback Reveals About Student Writing (And What It Might Not)</t>
        </is>
      </c>
      <c r="J84" s="12" t="inlineStr">
        <is>
          <t>Irene Kuek &amp; Lin Pei-Chen</t>
        </is>
      </c>
      <c r="K84" s="12" t="inlineStr">
        <is>
          <t>E103</t>
        </is>
      </c>
      <c r="L84" s="13" t="inlineStr"/>
      <c r="M84" s="12">
        <f>IFERROR(XLOOKUP(L84,'DEPARTMENT REFLECTION'!$A$2:$A$20,'DEPARTMENT REFLECTION'!$B$2:$B$20,""),"")</f>
        <v/>
      </c>
      <c r="N84" s="12">
        <f>IFERROR(XLOOKUP(L84,'DEPARTMENT REFLECTION'!$A$2:$A$20,'DEPARTMENT REFLECTION'!$C$2:$C$20,""),"")</f>
        <v/>
      </c>
    </row>
    <row r="85">
      <c r="A85" s="12" t="inlineStr">
        <is>
          <t>Rimiko Chuah Li Mei</t>
        </is>
      </c>
      <c r="B85" s="12" t="inlineStr">
        <is>
          <t>10:00–10:45</t>
        </is>
      </c>
      <c r="C85" s="12" t="inlineStr">
        <is>
          <t>Breakout 1</t>
        </is>
      </c>
      <c r="D85" s="12" t="inlineStr">
        <is>
          <t>AI and AA: An Attempt at Amalgamation</t>
        </is>
      </c>
      <c r="E85" s="12" t="inlineStr">
        <is>
          <t>Low Kian Seh</t>
        </is>
      </c>
      <c r="F85" s="12" t="inlineStr">
        <is>
          <t>E102</t>
        </is>
      </c>
      <c r="G85" s="12" t="inlineStr">
        <is>
          <t>11:00–11:45</t>
        </is>
      </c>
      <c r="H85" s="12" t="inlineStr">
        <is>
          <t>Breakout 2</t>
        </is>
      </c>
      <c r="I85" s="12" t="inlineStr">
        <is>
          <t>AI as Feedback, Not Fallback: Developing Critical Thinking Using AI</t>
        </is>
      </c>
      <c r="J85" s="12" t="inlineStr">
        <is>
          <t>Chen Ying &amp; Brendon Chee</t>
        </is>
      </c>
      <c r="K85" s="12" t="inlineStr">
        <is>
          <t>B105</t>
        </is>
      </c>
      <c r="L85" s="13" t="inlineStr"/>
      <c r="M85" s="12">
        <f>IFERROR(XLOOKUP(L85,'DEPARTMENT REFLECTION'!$A$2:$A$20,'DEPARTMENT REFLECTION'!$B$2:$B$20,""),"")</f>
        <v/>
      </c>
      <c r="N85" s="12">
        <f>IFERROR(XLOOKUP(L85,'DEPARTMENT REFLECTION'!$A$2:$A$20,'DEPARTMENT REFLECTION'!$C$2:$C$20,""),"")</f>
        <v/>
      </c>
    </row>
    <row r="86">
      <c r="A86" s="12" t="inlineStr">
        <is>
          <t>S ELANGOVAN</t>
        </is>
      </c>
      <c r="B86" s="12" t="inlineStr">
        <is>
          <t>10:00–10:45</t>
        </is>
      </c>
      <c r="C86" s="12" t="inlineStr">
        <is>
          <t>Breakout 1</t>
        </is>
      </c>
      <c r="D86" s="12" t="inlineStr">
        <is>
          <t>Exploring the Use of Non-Linear Pedagogy Principles to Deepen Student Learning in Physical Education</t>
        </is>
      </c>
      <c r="E86" s="12" t="inlineStr">
        <is>
          <t>Francis Lee</t>
        </is>
      </c>
      <c r="F86" s="12" t="inlineStr">
        <is>
          <t>E103</t>
        </is>
      </c>
      <c r="G86" s="12" t="inlineStr">
        <is>
          <t>11:00–11:45</t>
        </is>
      </c>
      <c r="H86" s="12" t="inlineStr">
        <is>
          <t>Breakout 2</t>
        </is>
      </c>
      <c r="I86" s="12" t="inlineStr">
        <is>
          <t>AI as Feedback, Not Fallback: Developing Critical Thinking Using AI</t>
        </is>
      </c>
      <c r="J86" s="12" t="inlineStr">
        <is>
          <t>Chen Ying &amp; Brendon Chee</t>
        </is>
      </c>
      <c r="K86" s="12" t="inlineStr">
        <is>
          <t>B105</t>
        </is>
      </c>
      <c r="L86" s="13" t="inlineStr"/>
      <c r="M86" s="12">
        <f>IFERROR(XLOOKUP(L86,'DEPARTMENT REFLECTION'!$A$2:$A$20,'DEPARTMENT REFLECTION'!$B$2:$B$20,""),"")</f>
        <v/>
      </c>
      <c r="N86" s="12">
        <f>IFERROR(XLOOKUP(L86,'DEPARTMENT REFLECTION'!$A$2:$A$20,'DEPARTMENT REFLECTION'!$C$2:$C$20,""),"")</f>
        <v/>
      </c>
    </row>
    <row r="87">
      <c r="A87" s="12" t="inlineStr">
        <is>
          <t>Sasha Kaur Dhillon</t>
        </is>
      </c>
      <c r="B87" s="12" t="inlineStr">
        <is>
          <t>10:00–10:45</t>
        </is>
      </c>
      <c r="C87" s="12" t="inlineStr">
        <is>
          <t>Breakout 1</t>
        </is>
      </c>
      <c r="D87" s="12" t="inlineStr"/>
      <c r="E87" s="12" t="inlineStr"/>
      <c r="F87" s="12" t="inlineStr"/>
      <c r="G87" s="12" t="inlineStr">
        <is>
          <t>11:00–11:45</t>
        </is>
      </c>
      <c r="H87" s="12" t="inlineStr">
        <is>
          <t>Breakout 2</t>
        </is>
      </c>
      <c r="I87" s="12" t="inlineStr">
        <is>
          <t>Empowering Students to Understand Concepts, Not Just Content</t>
        </is>
      </c>
      <c r="J87" s="12" t="inlineStr">
        <is>
          <t>Trevor Tay &amp; Nuryani Suneh</t>
        </is>
      </c>
      <c r="K87" s="12" t="inlineStr">
        <is>
          <t>B110</t>
        </is>
      </c>
      <c r="L87" s="13" t="inlineStr"/>
      <c r="M87" s="12">
        <f>IFERROR(XLOOKUP(L87,'DEPARTMENT REFLECTION'!$A$2:$A$20,'DEPARTMENT REFLECTION'!$B$2:$B$20,""),"")</f>
        <v/>
      </c>
      <c r="N87" s="12">
        <f>IFERROR(XLOOKUP(L87,'DEPARTMENT REFLECTION'!$A$2:$A$20,'DEPARTMENT REFLECTION'!$C$2:$C$20,""),"")</f>
        <v/>
      </c>
    </row>
    <row r="88">
      <c r="A88" s="12" t="inlineStr">
        <is>
          <t>Shermin Chee</t>
        </is>
      </c>
      <c r="B88" s="12" t="inlineStr">
        <is>
          <t>10:00–10:45</t>
        </is>
      </c>
      <c r="C88" s="12" t="inlineStr">
        <is>
          <t>Breakout 1</t>
        </is>
      </c>
      <c r="D88" s="12" t="inlineStr">
        <is>
          <t>Dialogic Talk for Thoughtful Thinkers</t>
        </is>
      </c>
      <c r="E88" s="12" t="inlineStr">
        <is>
          <t>Sasha Kaur dhillon</t>
        </is>
      </c>
      <c r="F88" s="12" t="inlineStr">
        <is>
          <t>G301</t>
        </is>
      </c>
      <c r="G88" s="12" t="inlineStr">
        <is>
          <t>11:00–11:45</t>
        </is>
      </c>
      <c r="H88" s="12" t="inlineStr">
        <is>
          <t>Breakout 2</t>
        </is>
      </c>
      <c r="I88" s="12" t="inlineStr">
        <is>
          <t>AIMS vs Gemini: What AI Feedback Reveals About Student Writing (And What It Might Not)</t>
        </is>
      </c>
      <c r="J88" s="12" t="inlineStr">
        <is>
          <t>Irene Kuek &amp; Lin Pei-Chen</t>
        </is>
      </c>
      <c r="K88" s="12" t="inlineStr">
        <is>
          <t>E103</t>
        </is>
      </c>
      <c r="L88" s="13" t="inlineStr"/>
      <c r="M88" s="12">
        <f>IFERROR(XLOOKUP(L88,'DEPARTMENT REFLECTION'!$A$2:$A$20,'DEPARTMENT REFLECTION'!$B$2:$B$20,""),"")</f>
        <v/>
      </c>
      <c r="N88" s="12">
        <f>IFERROR(XLOOKUP(L88,'DEPARTMENT REFLECTION'!$A$2:$A$20,'DEPARTMENT REFLECTION'!$C$2:$C$20,""),"")</f>
        <v/>
      </c>
    </row>
    <row r="89">
      <c r="A89" s="12" t="inlineStr">
        <is>
          <t>Siah Pei Yi, Annica</t>
        </is>
      </c>
      <c r="B89" s="12" t="inlineStr">
        <is>
          <t>10:00–10:45</t>
        </is>
      </c>
      <c r="C89" s="12" t="inlineStr">
        <is>
          <t>Breakout 1</t>
        </is>
      </c>
      <c r="D89" s="12" t="inlineStr">
        <is>
          <t>Dialogic Talk for Thoughtful Thinkers</t>
        </is>
      </c>
      <c r="E89" s="12" t="inlineStr">
        <is>
          <t>Sasha Kaur dhillon</t>
        </is>
      </c>
      <c r="F89" s="12" t="inlineStr">
        <is>
          <t>G301</t>
        </is>
      </c>
      <c r="G89" s="12" t="inlineStr">
        <is>
          <t>11:00–11:45</t>
        </is>
      </c>
      <c r="H89" s="12" t="inlineStr">
        <is>
          <t>Breakout 2</t>
        </is>
      </c>
      <c r="I89" s="12" t="inlineStr">
        <is>
          <t>AI as Feedback, Not Fallback: Developing Critical Thinking Using AI</t>
        </is>
      </c>
      <c r="J89" s="12" t="inlineStr">
        <is>
          <t>Chen Ying &amp; Brendon Chee</t>
        </is>
      </c>
      <c r="K89" s="12" t="inlineStr">
        <is>
          <t>B105</t>
        </is>
      </c>
      <c r="L89" s="13" t="inlineStr"/>
      <c r="M89" s="12">
        <f>IFERROR(XLOOKUP(L89,'DEPARTMENT REFLECTION'!$A$2:$A$20,'DEPARTMENT REFLECTION'!$B$2:$B$20,""),"")</f>
        <v/>
      </c>
      <c r="N89" s="12">
        <f>IFERROR(XLOOKUP(L89,'DEPARTMENT REFLECTION'!$A$2:$A$20,'DEPARTMENT REFLECTION'!$C$2:$C$20,""),"")</f>
        <v/>
      </c>
    </row>
    <row r="90">
      <c r="A90" s="12" t="inlineStr">
        <is>
          <t>Sim Johnson</t>
        </is>
      </c>
      <c r="B90" s="12" t="inlineStr">
        <is>
          <t>10:00–10:45</t>
        </is>
      </c>
      <c r="C90" s="12" t="inlineStr">
        <is>
          <t>Breakout 1</t>
        </is>
      </c>
      <c r="D90" s="12" t="inlineStr">
        <is>
          <t>Multimodal Learning for Multi-Faceted Development of e21CC Skills</t>
        </is>
      </c>
      <c r="E90" s="12" t="inlineStr">
        <is>
          <t>Florence Ang &amp; Caroline Sng</t>
        </is>
      </c>
      <c r="F90" s="12" t="inlineStr">
        <is>
          <t>B106</t>
        </is>
      </c>
      <c r="G90" s="12" t="inlineStr">
        <is>
          <t>11:00–11:45</t>
        </is>
      </c>
      <c r="H90" s="12" t="inlineStr">
        <is>
          <t>Breakout 2</t>
        </is>
      </c>
      <c r="I90" s="12" t="inlineStr">
        <is>
          <t>Cultivating Self-Directedness, Co-Constructing Success</t>
        </is>
      </c>
      <c r="J90" s="12" t="inlineStr">
        <is>
          <t>Anuthama &amp; Esther Wang</t>
        </is>
      </c>
      <c r="K90" s="12" t="inlineStr">
        <is>
          <t>E101</t>
        </is>
      </c>
      <c r="L90" s="13" t="inlineStr"/>
      <c r="M90" s="12">
        <f>IFERROR(XLOOKUP(L90,'DEPARTMENT REFLECTION'!$A$2:$A$20,'DEPARTMENT REFLECTION'!$B$2:$B$20,""),"")</f>
        <v/>
      </c>
      <c r="N90" s="12">
        <f>IFERROR(XLOOKUP(L90,'DEPARTMENT REFLECTION'!$A$2:$A$20,'DEPARTMENT REFLECTION'!$C$2:$C$20,""),"")</f>
        <v/>
      </c>
    </row>
    <row r="91">
      <c r="A91" s="12" t="inlineStr">
        <is>
          <t>Sng Ming Hui Caroline</t>
        </is>
      </c>
      <c r="B91" s="12" t="inlineStr">
        <is>
          <t>10:00–10:45</t>
        </is>
      </c>
      <c r="C91" s="12" t="inlineStr">
        <is>
          <t>Breakout 1</t>
        </is>
      </c>
      <c r="D91" s="12" t="inlineStr">
        <is>
          <t>Multimodal Learning for Multi-Faceted Development of e21CC Skills</t>
        </is>
      </c>
      <c r="E91" s="12" t="inlineStr">
        <is>
          <t>Florence Ang &amp; Caroline Sng</t>
        </is>
      </c>
      <c r="F91" s="12" t="inlineStr">
        <is>
          <t>B106</t>
        </is>
      </c>
      <c r="G91" s="12" t="inlineStr">
        <is>
          <t>11:00–11:45</t>
        </is>
      </c>
      <c r="H91" s="12" t="inlineStr">
        <is>
          <t>Breakout 2</t>
        </is>
      </c>
      <c r="I91" s="12" t="inlineStr">
        <is>
          <t>AI as Feedback, Not Fallback: Developing Critical Thinking Using AI</t>
        </is>
      </c>
      <c r="J91" s="12" t="inlineStr">
        <is>
          <t>Chen Ying &amp; Brendon Chee</t>
        </is>
      </c>
      <c r="K91" s="12" t="inlineStr">
        <is>
          <t>B105</t>
        </is>
      </c>
      <c r="L91" s="13" t="inlineStr"/>
      <c r="M91" s="12">
        <f>IFERROR(XLOOKUP(L91,'DEPARTMENT REFLECTION'!$A$2:$A$20,'DEPARTMENT REFLECTION'!$B$2:$B$20,""),"")</f>
        <v/>
      </c>
      <c r="N91" s="12">
        <f>IFERROR(XLOOKUP(L91,'DEPARTMENT REFLECTION'!$A$2:$A$20,'DEPARTMENT REFLECTION'!$C$2:$C$20,""),"")</f>
        <v/>
      </c>
    </row>
    <row r="92">
      <c r="A92" s="12" t="inlineStr">
        <is>
          <t>Soh Ning En Christabelle</t>
        </is>
      </c>
      <c r="B92" s="12" t="inlineStr">
        <is>
          <t>10:00–10:45</t>
        </is>
      </c>
      <c r="C92" s="12" t="inlineStr">
        <is>
          <t>Breakout 1</t>
        </is>
      </c>
      <c r="D92" s="12" t="inlineStr">
        <is>
          <t>Fostering Student Passion in Project Work Using the From Near to Far Framework</t>
        </is>
      </c>
      <c r="E92" s="12" t="inlineStr">
        <is>
          <t>Mariya Ahmad</t>
        </is>
      </c>
      <c r="F92" s="12" t="inlineStr">
        <is>
          <t>E104</t>
        </is>
      </c>
      <c r="G92" s="12" t="inlineStr">
        <is>
          <t>11:00–11:45</t>
        </is>
      </c>
      <c r="H92" s="12" t="inlineStr">
        <is>
          <t>Breakout 2</t>
        </is>
      </c>
      <c r="I92" s="12" t="inlineStr">
        <is>
          <t>Evidence-Driven Decision-Making: Using Student Data to Complement Teacher Observations</t>
        </is>
      </c>
      <c r="J92" s="12" t="inlineStr">
        <is>
          <t>Christabelle Soh</t>
        </is>
      </c>
      <c r="K92" s="12" t="inlineStr">
        <is>
          <t>B106</t>
        </is>
      </c>
      <c r="L92" s="13" t="inlineStr"/>
      <c r="M92" s="12">
        <f>IFERROR(XLOOKUP(L92,'DEPARTMENT REFLECTION'!$A$2:$A$20,'DEPARTMENT REFLECTION'!$B$2:$B$20,""),"")</f>
        <v/>
      </c>
      <c r="N92" s="12">
        <f>IFERROR(XLOOKUP(L92,'DEPARTMENT REFLECTION'!$A$2:$A$20,'DEPARTMENT REFLECTION'!$C$2:$C$20,""),"")</f>
        <v/>
      </c>
    </row>
    <row r="93">
      <c r="A93" s="12" t="inlineStr">
        <is>
          <t>Soodikkodutthal Ganesan</t>
        </is>
      </c>
      <c r="B93" s="12" t="inlineStr">
        <is>
          <t>10:00–10:45</t>
        </is>
      </c>
      <c r="C93" s="12" t="inlineStr">
        <is>
          <t>Breakout 1</t>
        </is>
      </c>
      <c r="D93" s="12" t="inlineStr">
        <is>
          <t>Dialogic Talk for Thoughtful Thinkers</t>
        </is>
      </c>
      <c r="E93" s="12" t="inlineStr">
        <is>
          <t>Sasha Kaur dhillon</t>
        </is>
      </c>
      <c r="F93" s="12" t="inlineStr">
        <is>
          <t>G301</t>
        </is>
      </c>
      <c r="G93" s="12" t="inlineStr">
        <is>
          <t>11:00–11:45</t>
        </is>
      </c>
      <c r="H93" s="12" t="inlineStr">
        <is>
          <t>Breakout 2</t>
        </is>
      </c>
      <c r="I93" s="12" t="inlineStr">
        <is>
          <t>Use of Brisk Teaching: Practical Strategies to Develop Metacognition and Adaptive Thinking through Form</t>
        </is>
      </c>
      <c r="J93" s="12" t="inlineStr">
        <is>
          <t>Alan Varella &amp; Cyrene Tan</t>
        </is>
      </c>
      <c r="K93" s="12" t="inlineStr">
        <is>
          <t>E104</t>
        </is>
      </c>
      <c r="L93" s="13" t="inlineStr"/>
      <c r="M93" s="12">
        <f>IFERROR(XLOOKUP(L93,'DEPARTMENT REFLECTION'!$A$2:$A$20,'DEPARTMENT REFLECTION'!$B$2:$B$20,""),"")</f>
        <v/>
      </c>
      <c r="N93" s="12">
        <f>IFERROR(XLOOKUP(L93,'DEPARTMENT REFLECTION'!$A$2:$A$20,'DEPARTMENT REFLECTION'!$C$2:$C$20,""),"")</f>
        <v/>
      </c>
    </row>
    <row r="94">
      <c r="A94" s="12" t="inlineStr">
        <is>
          <t>Tan Hwee Lynn, Cyrene</t>
        </is>
      </c>
      <c r="B94" s="12" t="inlineStr">
        <is>
          <t>10:00–10:45</t>
        </is>
      </c>
      <c r="C94" s="12" t="inlineStr">
        <is>
          <t>Breakout 1</t>
        </is>
      </c>
      <c r="D94" s="12" t="inlineStr">
        <is>
          <t>AI in Mathematics: See the Thinking, Shape the Learning, Spark Joy</t>
        </is>
      </c>
      <c r="E94" s="12" t="inlineStr">
        <is>
          <t>Ng Lay Ling</t>
        </is>
      </c>
      <c r="F94" s="12" t="inlineStr">
        <is>
          <t>B109</t>
        </is>
      </c>
      <c r="G94" s="12" t="inlineStr">
        <is>
          <t>11:00–11:45</t>
        </is>
      </c>
      <c r="H94" s="12" t="inlineStr">
        <is>
          <t>Breakout 2</t>
        </is>
      </c>
      <c r="I94" s="12" t="inlineStr">
        <is>
          <t>Use of Brisk Teaching: Practical Strategies to Develop Metacognition and Adaptive Thinking through Form</t>
        </is>
      </c>
      <c r="J94" s="12" t="inlineStr">
        <is>
          <t>Alan Varella &amp; Cyrene Tan</t>
        </is>
      </c>
      <c r="K94" s="12" t="inlineStr">
        <is>
          <t>E104</t>
        </is>
      </c>
      <c r="L94" s="13" t="inlineStr"/>
      <c r="M94" s="12">
        <f>IFERROR(XLOOKUP(L94,'DEPARTMENT REFLECTION'!$A$2:$A$20,'DEPARTMENT REFLECTION'!$B$2:$B$20,""),"")</f>
        <v/>
      </c>
      <c r="N94" s="12">
        <f>IFERROR(XLOOKUP(L94,'DEPARTMENT REFLECTION'!$A$2:$A$20,'DEPARTMENT REFLECTION'!$C$2:$C$20,""),"")</f>
        <v/>
      </c>
    </row>
    <row r="95">
      <c r="A95" s="12" t="inlineStr">
        <is>
          <t>Tan Jeng Suan</t>
        </is>
      </c>
      <c r="B95" s="12" t="inlineStr">
        <is>
          <t>10:00–10:45</t>
        </is>
      </c>
      <c r="C95" s="12" t="inlineStr">
        <is>
          <t>Breakout 1</t>
        </is>
      </c>
      <c r="D95" s="12" t="inlineStr">
        <is>
          <t>Dialogic Talk for Thoughtful Thinkers</t>
        </is>
      </c>
      <c r="E95" s="12" t="inlineStr">
        <is>
          <t>Sasha Kaur dhillon</t>
        </is>
      </c>
      <c r="F95" s="12" t="inlineStr">
        <is>
          <t>G301</t>
        </is>
      </c>
      <c r="G95" s="12" t="inlineStr">
        <is>
          <t>11:00–11:45</t>
        </is>
      </c>
      <c r="H95" s="12" t="inlineStr">
        <is>
          <t>Breakout 2</t>
        </is>
      </c>
      <c r="I95" s="12" t="inlineStr">
        <is>
          <t>Experimenting with a Pedagogy of Discomfort in the GP Classroom</t>
        </is>
      </c>
      <c r="J95" s="12" t="inlineStr">
        <is>
          <t>Maryam Mohamed Mokhtar</t>
        </is>
      </c>
      <c r="K95" s="12" t="inlineStr">
        <is>
          <t>B109</t>
        </is>
      </c>
      <c r="L95" s="13" t="inlineStr"/>
      <c r="M95" s="12">
        <f>IFERROR(XLOOKUP(L95,'DEPARTMENT REFLECTION'!$A$2:$A$20,'DEPARTMENT REFLECTION'!$B$2:$B$20,""),"")</f>
        <v/>
      </c>
      <c r="N95" s="12">
        <f>IFERROR(XLOOKUP(L95,'DEPARTMENT REFLECTION'!$A$2:$A$20,'DEPARTMENT REFLECTION'!$C$2:$C$20,""),"")</f>
        <v/>
      </c>
    </row>
    <row r="96">
      <c r="A96" s="12" t="inlineStr">
        <is>
          <t>Tan Kia Huan</t>
        </is>
      </c>
      <c r="B96" s="12" t="inlineStr">
        <is>
          <t>10:00–10:45</t>
        </is>
      </c>
      <c r="C96" s="12" t="inlineStr">
        <is>
          <t>Breakout 1</t>
        </is>
      </c>
      <c r="D96" s="12" t="inlineStr">
        <is>
          <t>Leveraging on the Student Learning Space (SLS) to Enhance Global Literacy</t>
        </is>
      </c>
      <c r="E96" s="12" t="inlineStr">
        <is>
          <t>Niki Lee</t>
        </is>
      </c>
      <c r="F96" s="12" t="inlineStr">
        <is>
          <t>B105</t>
        </is>
      </c>
      <c r="G96" s="12" t="inlineStr">
        <is>
          <t>11:00–11:45</t>
        </is>
      </c>
      <c r="H96" s="12" t="inlineStr">
        <is>
          <t>Breakout 2</t>
        </is>
      </c>
      <c r="I96" s="12" t="inlineStr">
        <is>
          <t>Fostering Critical Thinking and Communication through Real-World Chemistry Projects</t>
        </is>
      </c>
      <c r="J96" s="12" t="inlineStr">
        <is>
          <t>Veron Lee, Joanne Tan &amp; Joel Chung</t>
        </is>
      </c>
      <c r="K96" s="12" t="inlineStr">
        <is>
          <t>E105</t>
        </is>
      </c>
      <c r="L96" s="13" t="inlineStr"/>
      <c r="M96" s="12">
        <f>IFERROR(XLOOKUP(L96,'DEPARTMENT REFLECTION'!$A$2:$A$20,'DEPARTMENT REFLECTION'!$B$2:$B$20,""),"")</f>
        <v/>
      </c>
      <c r="N96" s="12">
        <f>IFERROR(XLOOKUP(L96,'DEPARTMENT REFLECTION'!$A$2:$A$20,'DEPARTMENT REFLECTION'!$C$2:$C$20,""),"")</f>
        <v/>
      </c>
    </row>
    <row r="97">
      <c r="A97" s="12" t="inlineStr">
        <is>
          <t>Tan Minyi Shawn</t>
        </is>
      </c>
      <c r="B97" s="12" t="inlineStr">
        <is>
          <t>10:00–10:45</t>
        </is>
      </c>
      <c r="C97" s="12" t="inlineStr">
        <is>
          <t>Breakout 1</t>
        </is>
      </c>
      <c r="D97" s="12" t="inlineStr">
        <is>
          <t>Dialogic Talk for Thoughtful Thinkers</t>
        </is>
      </c>
      <c r="E97" s="12" t="inlineStr">
        <is>
          <t>Sasha Kaur dhillon</t>
        </is>
      </c>
      <c r="F97" s="12" t="inlineStr">
        <is>
          <t>G301</t>
        </is>
      </c>
      <c r="G97" s="12" t="inlineStr">
        <is>
          <t>11:00–11:45</t>
        </is>
      </c>
      <c r="H97" s="12" t="inlineStr">
        <is>
          <t>Breakout 2</t>
        </is>
      </c>
      <c r="I97" s="12" t="inlineStr">
        <is>
          <t>Experimenting with a Pedagogy of Discomfort in the GP Classroom</t>
        </is>
      </c>
      <c r="J97" s="12" t="inlineStr">
        <is>
          <t>Maryam Mohamed Mokhtar</t>
        </is>
      </c>
      <c r="K97" s="12" t="inlineStr">
        <is>
          <t>B109</t>
        </is>
      </c>
      <c r="L97" s="13" t="inlineStr"/>
      <c r="M97" s="12">
        <f>IFERROR(XLOOKUP(L97,'DEPARTMENT REFLECTION'!$A$2:$A$20,'DEPARTMENT REFLECTION'!$B$2:$B$20,""),"")</f>
        <v/>
      </c>
      <c r="N97" s="12">
        <f>IFERROR(XLOOKUP(L97,'DEPARTMENT REFLECTION'!$A$2:$A$20,'DEPARTMENT REFLECTION'!$C$2:$C$20,""),"")</f>
        <v/>
      </c>
    </row>
    <row r="98">
      <c r="A98" s="12" t="inlineStr">
        <is>
          <t>Tan Seng Kwang</t>
        </is>
      </c>
      <c r="B98" s="12" t="inlineStr">
        <is>
          <t>10:00–10:45</t>
        </is>
      </c>
      <c r="C98" s="12" t="inlineStr">
        <is>
          <t>Breakout 1</t>
        </is>
      </c>
      <c r="D98" s="12" t="inlineStr">
        <is>
          <t>AI in Mathematics: See the Thinking, Shape the Learning, Spark Joy</t>
        </is>
      </c>
      <c r="E98" s="12" t="inlineStr">
        <is>
          <t>Ng Lay Ling</t>
        </is>
      </c>
      <c r="F98" s="12" t="inlineStr">
        <is>
          <t>B109</t>
        </is>
      </c>
      <c r="G98" s="12" t="inlineStr">
        <is>
          <t>11:00–11:45</t>
        </is>
      </c>
      <c r="H98" s="12" t="inlineStr">
        <is>
          <t>Breakout 2</t>
        </is>
      </c>
      <c r="I98" s="12" t="inlineStr">
        <is>
          <t>Fostering Critical Thinking and Communication through Real-World Chemistry Projects</t>
        </is>
      </c>
      <c r="J98" s="12" t="inlineStr">
        <is>
          <t>Veron Lee, Joanne Tan &amp; Joel Chung</t>
        </is>
      </c>
      <c r="K98" s="12" t="inlineStr">
        <is>
          <t>E105</t>
        </is>
      </c>
      <c r="L98" s="13" t="inlineStr"/>
      <c r="M98" s="12">
        <f>IFERROR(XLOOKUP(L98,'DEPARTMENT REFLECTION'!$A$2:$A$20,'DEPARTMENT REFLECTION'!$B$2:$B$20,""),"")</f>
        <v/>
      </c>
      <c r="N98" s="12">
        <f>IFERROR(XLOOKUP(L98,'DEPARTMENT REFLECTION'!$A$2:$A$20,'DEPARTMENT REFLECTION'!$C$2:$C$20,""),"")</f>
        <v/>
      </c>
    </row>
    <row r="99">
      <c r="A99" s="12" t="inlineStr">
        <is>
          <t>Tan Siew Bin Faye</t>
        </is>
      </c>
      <c r="B99" s="12" t="inlineStr">
        <is>
          <t>10:00–10:45</t>
        </is>
      </c>
      <c r="C99" s="12" t="inlineStr">
        <is>
          <t>Breakout 1</t>
        </is>
      </c>
      <c r="D99" s="12" t="inlineStr">
        <is>
          <t>AI-ding Students' Preparation for Oral Examinations: 6. Using Technology for Real-World Skills</t>
        </is>
      </c>
      <c r="E99" s="12" t="inlineStr">
        <is>
          <t>Ho Jia Xuan Jane</t>
        </is>
      </c>
      <c r="F99" s="12" t="inlineStr">
        <is>
          <t>E101</t>
        </is>
      </c>
      <c r="G99" s="12" t="inlineStr">
        <is>
          <t>11:00–11:45</t>
        </is>
      </c>
      <c r="H99" s="12" t="inlineStr">
        <is>
          <t>Breakout 2</t>
        </is>
      </c>
      <c r="I99" s="12" t="inlineStr">
        <is>
          <t>AIMS vs Gemini: What AI Feedback Reveals About Student Writing (And What It Might Not)</t>
        </is>
      </c>
      <c r="J99" s="12" t="inlineStr">
        <is>
          <t>Irene Kuek &amp; Lin Pei-Chen</t>
        </is>
      </c>
      <c r="K99" s="12" t="inlineStr">
        <is>
          <t>E103</t>
        </is>
      </c>
      <c r="L99" s="13" t="inlineStr"/>
      <c r="M99" s="12">
        <f>IFERROR(XLOOKUP(L99,'DEPARTMENT REFLECTION'!$A$2:$A$20,'DEPARTMENT REFLECTION'!$B$2:$B$20,""),"")</f>
        <v/>
      </c>
      <c r="N99" s="12">
        <f>IFERROR(XLOOKUP(L99,'DEPARTMENT REFLECTION'!$A$2:$A$20,'DEPARTMENT REFLECTION'!$C$2:$C$20,""),"")</f>
        <v/>
      </c>
    </row>
    <row r="100">
      <c r="A100" s="12" t="inlineStr">
        <is>
          <t>Tan Siu Hwei Joanne</t>
        </is>
      </c>
      <c r="B100" s="12" t="inlineStr">
        <is>
          <t>10:00–10:45</t>
        </is>
      </c>
      <c r="C100" s="12" t="inlineStr">
        <is>
          <t>Breakout 1</t>
        </is>
      </c>
      <c r="D100" s="12" t="inlineStr">
        <is>
          <t>AI and AA: An Attempt at Amalgamation</t>
        </is>
      </c>
      <c r="E100" s="12" t="inlineStr">
        <is>
          <t>Low Kian Seh</t>
        </is>
      </c>
      <c r="F100" s="12" t="inlineStr">
        <is>
          <t>E102</t>
        </is>
      </c>
      <c r="G100" s="12" t="inlineStr">
        <is>
          <t>11:00–11:45</t>
        </is>
      </c>
      <c r="H100" s="12" t="inlineStr">
        <is>
          <t>Breakout 2</t>
        </is>
      </c>
      <c r="I100" s="12" t="inlineStr">
        <is>
          <t>Fostering Critical Thinking and Communication through Real-World Chemistry Projects</t>
        </is>
      </c>
      <c r="J100" s="12" t="inlineStr">
        <is>
          <t>Veron Lee, Joanne Tan &amp; Joel Chung</t>
        </is>
      </c>
      <c r="K100" s="12" t="inlineStr">
        <is>
          <t>E105</t>
        </is>
      </c>
      <c r="L100" s="13" t="inlineStr"/>
      <c r="M100" s="12">
        <f>IFERROR(XLOOKUP(L100,'DEPARTMENT REFLECTION'!$A$2:$A$20,'DEPARTMENT REFLECTION'!$B$2:$B$20,""),"")</f>
        <v/>
      </c>
      <c r="N100" s="12">
        <f>IFERROR(XLOOKUP(L100,'DEPARTMENT REFLECTION'!$A$2:$A$20,'DEPARTMENT REFLECTION'!$C$2:$C$20,""),"")</f>
        <v/>
      </c>
    </row>
    <row r="101">
      <c r="A101" s="12" t="inlineStr">
        <is>
          <t>TAN ZHEN ZHI</t>
        </is>
      </c>
      <c r="B101" s="12" t="inlineStr">
        <is>
          <t>10:00–10:45</t>
        </is>
      </c>
      <c r="C101" s="12" t="inlineStr">
        <is>
          <t>Breakout 1</t>
        </is>
      </c>
      <c r="D101" s="12" t="inlineStr">
        <is>
          <t>AI in Mathematics: See the Thinking, Shape the Learning, Spark Joy</t>
        </is>
      </c>
      <c r="E101" s="12" t="inlineStr">
        <is>
          <t>Ng Lay Ling</t>
        </is>
      </c>
      <c r="F101" s="12" t="inlineStr">
        <is>
          <t>B109</t>
        </is>
      </c>
      <c r="G101" s="12" t="inlineStr">
        <is>
          <t>11:00–11:45</t>
        </is>
      </c>
      <c r="H101" s="12" t="inlineStr">
        <is>
          <t>Breakout 2</t>
        </is>
      </c>
      <c r="I101" s="12" t="inlineStr">
        <is>
          <t>Fostering Critical Thinking and Communication through Real-World Chemistry Projects</t>
        </is>
      </c>
      <c r="J101" s="12" t="inlineStr">
        <is>
          <t>Veron Lee, Joanne Tan &amp; Joel Chung</t>
        </is>
      </c>
      <c r="K101" s="12" t="inlineStr">
        <is>
          <t>E105</t>
        </is>
      </c>
      <c r="L101" s="13" t="inlineStr"/>
      <c r="M101" s="12">
        <f>IFERROR(XLOOKUP(L101,'DEPARTMENT REFLECTION'!$A$2:$A$20,'DEPARTMENT REFLECTION'!$B$2:$B$20,""),"")</f>
        <v/>
      </c>
      <c r="N101" s="12">
        <f>IFERROR(XLOOKUP(L101,'DEPARTMENT REFLECTION'!$A$2:$A$20,'DEPARTMENT REFLECTION'!$C$2:$C$20,""),"")</f>
        <v/>
      </c>
    </row>
    <row r="102">
      <c r="A102" s="12" t="inlineStr">
        <is>
          <t>Tang Youbin</t>
        </is>
      </c>
      <c r="B102" s="12" t="inlineStr">
        <is>
          <t>10:00–10:45</t>
        </is>
      </c>
      <c r="C102" s="12" t="inlineStr">
        <is>
          <t>Breakout 1</t>
        </is>
      </c>
      <c r="D102" s="12" t="inlineStr">
        <is>
          <t>Dialogic Talk for Thoughtful Thinkers</t>
        </is>
      </c>
      <c r="E102" s="12" t="inlineStr">
        <is>
          <t>Sasha Kaur dhillon</t>
        </is>
      </c>
      <c r="F102" s="12" t="inlineStr">
        <is>
          <t>G301</t>
        </is>
      </c>
      <c r="G102" s="12" t="inlineStr">
        <is>
          <t>11:00–11:45</t>
        </is>
      </c>
      <c r="H102" s="12" t="inlineStr">
        <is>
          <t>Breakout 2</t>
        </is>
      </c>
      <c r="I102" s="12" t="inlineStr">
        <is>
          <t>Use of Brisk Teaching: Practical Strategies to Develop Metacognition and Adaptive Thinking through Form</t>
        </is>
      </c>
      <c r="J102" s="12" t="inlineStr">
        <is>
          <t>Alan Varella &amp; Cyrene Tan</t>
        </is>
      </c>
      <c r="K102" s="12" t="inlineStr">
        <is>
          <t>E104</t>
        </is>
      </c>
      <c r="L102" s="13" t="inlineStr"/>
      <c r="M102" s="12">
        <f>IFERROR(XLOOKUP(L102,'DEPARTMENT REFLECTION'!$A$2:$A$20,'DEPARTMENT REFLECTION'!$B$2:$B$20,""),"")</f>
        <v/>
      </c>
      <c r="N102" s="12">
        <f>IFERROR(XLOOKUP(L102,'DEPARTMENT REFLECTION'!$A$2:$A$20,'DEPARTMENT REFLECTION'!$C$2:$C$20,""),"")</f>
        <v/>
      </c>
    </row>
    <row r="103">
      <c r="A103" s="12" t="inlineStr">
        <is>
          <t>Tay Chen Yi, Trevor</t>
        </is>
      </c>
      <c r="B103" s="12" t="inlineStr">
        <is>
          <t>10:00–10:45</t>
        </is>
      </c>
      <c r="C103" s="12" t="inlineStr">
        <is>
          <t>Breakout 1</t>
        </is>
      </c>
      <c r="D103" s="12" t="inlineStr">
        <is>
          <t>Dialogic Talk for Thoughtful Thinkers</t>
        </is>
      </c>
      <c r="E103" s="12" t="inlineStr">
        <is>
          <t>Sasha Kaur dhillon</t>
        </is>
      </c>
      <c r="F103" s="12" t="inlineStr">
        <is>
          <t>G301</t>
        </is>
      </c>
      <c r="G103" s="12" t="inlineStr">
        <is>
          <t>11:00–11:45</t>
        </is>
      </c>
      <c r="H103" s="12" t="inlineStr">
        <is>
          <t>Breakout 2</t>
        </is>
      </c>
      <c r="I103" s="12" t="inlineStr">
        <is>
          <t>Experimenting with a Pedagogy of Discomfort in the GP Classroom</t>
        </is>
      </c>
      <c r="J103" s="12" t="inlineStr">
        <is>
          <t>Maryam Mohamed Mokhtar</t>
        </is>
      </c>
      <c r="K103" s="12" t="inlineStr">
        <is>
          <t>B109</t>
        </is>
      </c>
      <c r="L103" s="13" t="inlineStr"/>
      <c r="M103" s="12">
        <f>IFERROR(XLOOKUP(L103,'DEPARTMENT REFLECTION'!$A$2:$A$20,'DEPARTMENT REFLECTION'!$B$2:$B$20,""),"")</f>
        <v/>
      </c>
      <c r="N103" s="12">
        <f>IFERROR(XLOOKUP(L103,'DEPARTMENT REFLECTION'!$A$2:$A$20,'DEPARTMENT REFLECTION'!$C$2:$C$20,""),"")</f>
        <v/>
      </c>
    </row>
    <row r="104">
      <c r="A104" s="12" t="inlineStr">
        <is>
          <t>Tay Hiong Kiat Marcus</t>
        </is>
      </c>
      <c r="B104" s="12" t="inlineStr">
        <is>
          <t>10:00–10:45</t>
        </is>
      </c>
      <c r="C104" s="12" t="inlineStr">
        <is>
          <t>Breakout 1</t>
        </is>
      </c>
      <c r="D104" s="12" t="inlineStr">
        <is>
          <t>Dialogic Talk for Thoughtful Thinkers</t>
        </is>
      </c>
      <c r="E104" s="12" t="inlineStr">
        <is>
          <t>Sasha Kaur dhillon</t>
        </is>
      </c>
      <c r="F104" s="12" t="inlineStr">
        <is>
          <t>G301</t>
        </is>
      </c>
      <c r="G104" s="12" t="inlineStr">
        <is>
          <t>11:00–11:45</t>
        </is>
      </c>
      <c r="H104" s="12" t="inlineStr">
        <is>
          <t>Breakout 2</t>
        </is>
      </c>
      <c r="I104" s="12" t="inlineStr">
        <is>
          <t>Experimenting with a Pedagogy of Discomfort in the GP Classroom</t>
        </is>
      </c>
      <c r="J104" s="12" t="inlineStr">
        <is>
          <t>Maryam Mohamed Mokhtar</t>
        </is>
      </c>
      <c r="K104" s="12" t="inlineStr">
        <is>
          <t>B109</t>
        </is>
      </c>
      <c r="L104" s="13" t="inlineStr"/>
      <c r="M104" s="12">
        <f>IFERROR(XLOOKUP(L104,'DEPARTMENT REFLECTION'!$A$2:$A$20,'DEPARTMENT REFLECTION'!$B$2:$B$20,""),"")</f>
        <v/>
      </c>
      <c r="N104" s="12">
        <f>IFERROR(XLOOKUP(L104,'DEPARTMENT REFLECTION'!$A$2:$A$20,'DEPARTMENT REFLECTION'!$C$2:$C$20,""),"")</f>
        <v/>
      </c>
    </row>
    <row r="105">
      <c r="A105" s="12" t="inlineStr">
        <is>
          <t>Tay Kiah Koon Jeremy</t>
        </is>
      </c>
      <c r="B105" s="12" t="inlineStr">
        <is>
          <t>10:00–10:45</t>
        </is>
      </c>
      <c r="C105" s="12" t="inlineStr">
        <is>
          <t>Breakout 1</t>
        </is>
      </c>
      <c r="D105" s="12" t="inlineStr">
        <is>
          <t>Dialogic Talk for Thoughtful Thinkers</t>
        </is>
      </c>
      <c r="E105" s="12" t="inlineStr">
        <is>
          <t>Sasha Kaur dhillon</t>
        </is>
      </c>
      <c r="F105" s="12" t="inlineStr">
        <is>
          <t>G301</t>
        </is>
      </c>
      <c r="G105" s="12" t="inlineStr">
        <is>
          <t>11:00–11:45</t>
        </is>
      </c>
      <c r="H105" s="12" t="inlineStr">
        <is>
          <t>Breakout 2</t>
        </is>
      </c>
      <c r="I105" s="12" t="inlineStr">
        <is>
          <t>AI as Feedback, Not Fallback: Developing Critical Thinking Using AI</t>
        </is>
      </c>
      <c r="J105" s="12" t="inlineStr">
        <is>
          <t>Chen Ying &amp; Brendon Chee</t>
        </is>
      </c>
      <c r="K105" s="12" t="inlineStr">
        <is>
          <t>B105</t>
        </is>
      </c>
      <c r="L105" s="13" t="inlineStr"/>
      <c r="M105" s="12">
        <f>IFERROR(XLOOKUP(L105,'DEPARTMENT REFLECTION'!$A$2:$A$20,'DEPARTMENT REFLECTION'!$B$2:$B$20,""),"")</f>
        <v/>
      </c>
      <c r="N105" s="12">
        <f>IFERROR(XLOOKUP(L105,'DEPARTMENT REFLECTION'!$A$2:$A$20,'DEPARTMENT REFLECTION'!$C$2:$C$20,""),"")</f>
        <v/>
      </c>
    </row>
    <row r="106">
      <c r="A106" s="12" t="inlineStr">
        <is>
          <t>Teo Li San Melissa</t>
        </is>
      </c>
      <c r="B106" s="12" t="inlineStr">
        <is>
          <t>10:00–10:45</t>
        </is>
      </c>
      <c r="C106" s="12" t="inlineStr">
        <is>
          <t>Breakout 1</t>
        </is>
      </c>
      <c r="D106" s="12" t="inlineStr">
        <is>
          <t>Dialogic Talk for Thoughtful Thinkers</t>
        </is>
      </c>
      <c r="E106" s="12" t="inlineStr">
        <is>
          <t>Sasha Kaur dhillon</t>
        </is>
      </c>
      <c r="F106" s="12" t="inlineStr">
        <is>
          <t>G301</t>
        </is>
      </c>
      <c r="G106" s="12" t="inlineStr">
        <is>
          <t>11:00–11:45</t>
        </is>
      </c>
      <c r="H106" s="12" t="inlineStr">
        <is>
          <t>Breakout 2</t>
        </is>
      </c>
      <c r="I106" s="12" t="inlineStr">
        <is>
          <t>Redesigning Mathematics Learning: Our ILP Journey and Pedagogical Shifts</t>
        </is>
      </c>
      <c r="J106" s="12" t="inlineStr">
        <is>
          <t>Kelvin Ng &amp; Leonard Lau</t>
        </is>
      </c>
      <c r="K106" s="12" t="inlineStr">
        <is>
          <t>E102</t>
        </is>
      </c>
      <c r="L106" s="13" t="inlineStr"/>
      <c r="M106" s="12">
        <f>IFERROR(XLOOKUP(L106,'DEPARTMENT REFLECTION'!$A$2:$A$20,'DEPARTMENT REFLECTION'!$B$2:$B$20,""),"")</f>
        <v/>
      </c>
      <c r="N106" s="12">
        <f>IFERROR(XLOOKUP(L106,'DEPARTMENT REFLECTION'!$A$2:$A$20,'DEPARTMENT REFLECTION'!$C$2:$C$20,""),"")</f>
        <v/>
      </c>
    </row>
    <row r="107">
      <c r="A107" s="12" t="inlineStr">
        <is>
          <t>Teo Yan Ni Linda</t>
        </is>
      </c>
      <c r="B107" s="12" t="inlineStr">
        <is>
          <t>10:00–10:45</t>
        </is>
      </c>
      <c r="C107" s="12" t="inlineStr">
        <is>
          <t>Breakout 1</t>
        </is>
      </c>
      <c r="D107" s="12" t="inlineStr">
        <is>
          <t>Dialogic Talk for Thoughtful Thinkers</t>
        </is>
      </c>
      <c r="E107" s="12" t="inlineStr">
        <is>
          <t>Sasha Kaur dhillon</t>
        </is>
      </c>
      <c r="F107" s="12" t="inlineStr">
        <is>
          <t>G301</t>
        </is>
      </c>
      <c r="G107" s="12" t="inlineStr">
        <is>
          <t>11:00–11:45</t>
        </is>
      </c>
      <c r="H107" s="12" t="inlineStr">
        <is>
          <t>Breakout 2</t>
        </is>
      </c>
      <c r="I107" s="12" t="inlineStr">
        <is>
          <t>Use of Brisk Teaching: Practical Strategies to Develop Metacognition and Adaptive Thinking through Form</t>
        </is>
      </c>
      <c r="J107" s="12" t="inlineStr">
        <is>
          <t>Alan Varella &amp; Cyrene Tan</t>
        </is>
      </c>
      <c r="K107" s="12" t="inlineStr">
        <is>
          <t>E104</t>
        </is>
      </c>
      <c r="L107" s="13" t="inlineStr"/>
      <c r="M107" s="12">
        <f>IFERROR(XLOOKUP(L107,'DEPARTMENT REFLECTION'!$A$2:$A$20,'DEPARTMENT REFLECTION'!$B$2:$B$20,""),"")</f>
        <v/>
      </c>
      <c r="N107" s="12">
        <f>IFERROR(XLOOKUP(L107,'DEPARTMENT REFLECTION'!$A$2:$A$20,'DEPARTMENT REFLECTION'!$C$2:$C$20,""),"")</f>
        <v/>
      </c>
    </row>
    <row r="108">
      <c r="A108" s="12" t="inlineStr">
        <is>
          <t>Teo Yew Ing Shirley</t>
        </is>
      </c>
      <c r="B108" s="12" t="inlineStr">
        <is>
          <t>10:00–10:45</t>
        </is>
      </c>
      <c r="C108" s="12" t="inlineStr">
        <is>
          <t>Breakout 1</t>
        </is>
      </c>
      <c r="D108" s="12" t="inlineStr">
        <is>
          <t>Multimodal Learning for Multi-Faceted Development of e21CC Skills</t>
        </is>
      </c>
      <c r="E108" s="12" t="inlineStr">
        <is>
          <t>Florence Ang &amp; Caroline Sng</t>
        </is>
      </c>
      <c r="F108" s="12" t="inlineStr">
        <is>
          <t>B106</t>
        </is>
      </c>
      <c r="G108" s="12" t="inlineStr">
        <is>
          <t>11:00–11:45</t>
        </is>
      </c>
      <c r="H108" s="12" t="inlineStr">
        <is>
          <t>Breakout 2</t>
        </is>
      </c>
      <c r="I108" s="12" t="inlineStr">
        <is>
          <t>Use of Brisk Teaching: Practical Strategies to Develop Metacognition and Adaptive Thinking through Form</t>
        </is>
      </c>
      <c r="J108" s="12" t="inlineStr">
        <is>
          <t>Alan Varella &amp; Cyrene Tan</t>
        </is>
      </c>
      <c r="K108" s="12" t="inlineStr">
        <is>
          <t>E104</t>
        </is>
      </c>
      <c r="L108" s="13" t="inlineStr"/>
      <c r="M108" s="12">
        <f>IFERROR(XLOOKUP(L108,'DEPARTMENT REFLECTION'!$A$2:$A$20,'DEPARTMENT REFLECTION'!$B$2:$B$20,""),"")</f>
        <v/>
      </c>
      <c r="N108" s="12">
        <f>IFERROR(XLOOKUP(L108,'DEPARTMENT REFLECTION'!$A$2:$A$20,'DEPARTMENT REFLECTION'!$C$2:$C$20,""),"")</f>
        <v/>
      </c>
    </row>
    <row r="109">
      <c r="A109" s="12" t="inlineStr">
        <is>
          <t>Thangam d/o Vickerama Singhan</t>
        </is>
      </c>
      <c r="B109" s="12" t="inlineStr">
        <is>
          <t>10:00–10:45</t>
        </is>
      </c>
      <c r="C109" s="12" t="inlineStr">
        <is>
          <t>Breakout 1</t>
        </is>
      </c>
      <c r="D109" s="12" t="inlineStr">
        <is>
          <t>Fostering Student Passion in Project Work Using the From Near to Far Framework</t>
        </is>
      </c>
      <c r="E109" s="12" t="inlineStr">
        <is>
          <t>Mariya Ahmad</t>
        </is>
      </c>
      <c r="F109" s="12" t="inlineStr">
        <is>
          <t>E104</t>
        </is>
      </c>
      <c r="G109" s="12" t="inlineStr">
        <is>
          <t>11:00–11:45</t>
        </is>
      </c>
      <c r="H109" s="12" t="inlineStr">
        <is>
          <t>Breakout 2</t>
        </is>
      </c>
      <c r="I109" s="12" t="inlineStr">
        <is>
          <t>AI as Feedback, Not Fallback: Developing Critical Thinking Using AI</t>
        </is>
      </c>
      <c r="J109" s="12" t="inlineStr">
        <is>
          <t>Chen Ying &amp; Brendon Chee</t>
        </is>
      </c>
      <c r="K109" s="12" t="inlineStr">
        <is>
          <t>B105</t>
        </is>
      </c>
      <c r="L109" s="13" t="inlineStr"/>
      <c r="M109" s="12">
        <f>IFERROR(XLOOKUP(L109,'DEPARTMENT REFLECTION'!$A$2:$A$20,'DEPARTMENT REFLECTION'!$B$2:$B$20,""),"")</f>
        <v/>
      </c>
      <c r="N109" s="12">
        <f>IFERROR(XLOOKUP(L109,'DEPARTMENT REFLECTION'!$A$2:$A$20,'DEPARTMENT REFLECTION'!$C$2:$C$20,""),"")</f>
        <v/>
      </c>
    </row>
    <row r="110">
      <c r="A110" s="12" t="inlineStr">
        <is>
          <t>Ting Siew Choon</t>
        </is>
      </c>
      <c r="B110" s="12" t="inlineStr">
        <is>
          <t>10:00–10:45</t>
        </is>
      </c>
      <c r="C110" s="12" t="inlineStr">
        <is>
          <t>Breakout 1</t>
        </is>
      </c>
      <c r="D110" s="12" t="inlineStr">
        <is>
          <t>AI in Mathematics: See the Thinking, Shape the Learning, Spark Joy</t>
        </is>
      </c>
      <c r="E110" s="12" t="inlineStr">
        <is>
          <t>Ng Lay Ling</t>
        </is>
      </c>
      <c r="F110" s="12" t="inlineStr">
        <is>
          <t>B109</t>
        </is>
      </c>
      <c r="G110" s="12" t="inlineStr">
        <is>
          <t>11:00–11:45</t>
        </is>
      </c>
      <c r="H110" s="12" t="inlineStr">
        <is>
          <t>Breakout 2</t>
        </is>
      </c>
      <c r="I110" s="12" t="inlineStr">
        <is>
          <t>Redesigning Mathematics Learning: Our ILP Journey and Pedagogical Shifts</t>
        </is>
      </c>
      <c r="J110" s="12" t="inlineStr">
        <is>
          <t>Kelvin Ng &amp; Leonard Lau</t>
        </is>
      </c>
      <c r="K110" s="12" t="inlineStr">
        <is>
          <t>E102</t>
        </is>
      </c>
      <c r="L110" s="13" t="inlineStr"/>
      <c r="M110" s="12">
        <f>IFERROR(XLOOKUP(L110,'DEPARTMENT REFLECTION'!$A$2:$A$20,'DEPARTMENT REFLECTION'!$B$2:$B$20,""),"")</f>
        <v/>
      </c>
      <c r="N110" s="12">
        <f>IFERROR(XLOOKUP(L110,'DEPARTMENT REFLECTION'!$A$2:$A$20,'DEPARTMENT REFLECTION'!$C$2:$C$20,""),"")</f>
        <v/>
      </c>
    </row>
    <row r="111">
      <c r="A111" s="12" t="inlineStr">
        <is>
          <t>Varella Alan Joseph</t>
        </is>
      </c>
      <c r="B111" s="12" t="inlineStr">
        <is>
          <t>10:00–10:45</t>
        </is>
      </c>
      <c r="C111" s="12" t="inlineStr">
        <is>
          <t>Breakout 1</t>
        </is>
      </c>
      <c r="D111" s="12" t="inlineStr">
        <is>
          <t>AI in Mathematics: See the Thinking, Shape the Learning, Spark Joy</t>
        </is>
      </c>
      <c r="E111" s="12" t="inlineStr">
        <is>
          <t>Ng Lay Ling</t>
        </is>
      </c>
      <c r="F111" s="12" t="inlineStr">
        <is>
          <t>B109</t>
        </is>
      </c>
      <c r="G111" s="12" t="inlineStr">
        <is>
          <t>11:00–11:45</t>
        </is>
      </c>
      <c r="H111" s="12" t="inlineStr">
        <is>
          <t>Breakout 2</t>
        </is>
      </c>
      <c r="I111" s="12" t="inlineStr">
        <is>
          <t>Use of Brisk Teaching: Practical Strategies to Develop Metacognition and Adaptive Thinking through Form</t>
        </is>
      </c>
      <c r="J111" s="12" t="inlineStr">
        <is>
          <t>Alan Varella &amp; Cyrene Tan</t>
        </is>
      </c>
      <c r="K111" s="12" t="inlineStr">
        <is>
          <t>E104</t>
        </is>
      </c>
      <c r="L111" s="13" t="inlineStr"/>
      <c r="M111" s="12">
        <f>IFERROR(XLOOKUP(L111,'DEPARTMENT REFLECTION'!$A$2:$A$20,'DEPARTMENT REFLECTION'!$B$2:$B$20,""),"")</f>
        <v/>
      </c>
      <c r="N111" s="12">
        <f>IFERROR(XLOOKUP(L111,'DEPARTMENT REFLECTION'!$A$2:$A$20,'DEPARTMENT REFLECTION'!$C$2:$C$20,""),"")</f>
        <v/>
      </c>
    </row>
    <row r="112">
      <c r="A112" s="12" t="inlineStr">
        <is>
          <t>Wang Yingjie Esther</t>
        </is>
      </c>
      <c r="B112" s="12" t="inlineStr">
        <is>
          <t>10:00–10:45</t>
        </is>
      </c>
      <c r="C112" s="12" t="inlineStr">
        <is>
          <t>Breakout 1</t>
        </is>
      </c>
      <c r="D112" s="12" t="inlineStr">
        <is>
          <t>Dialogic Talk for Thoughtful Thinkers</t>
        </is>
      </c>
      <c r="E112" s="12" t="inlineStr">
        <is>
          <t>Sasha Kaur dhillon</t>
        </is>
      </c>
      <c r="F112" s="12" t="inlineStr">
        <is>
          <t>G301</t>
        </is>
      </c>
      <c r="G112" s="12" t="inlineStr">
        <is>
          <t>11:00–11:45</t>
        </is>
      </c>
      <c r="H112" s="12" t="inlineStr">
        <is>
          <t>Breakout 2</t>
        </is>
      </c>
      <c r="I112" s="12" t="inlineStr">
        <is>
          <t>Cultivating Self-Directedness, Co-Constructing Success</t>
        </is>
      </c>
      <c r="J112" s="12" t="inlineStr">
        <is>
          <t>Anuthama &amp; Esther Wang</t>
        </is>
      </c>
      <c r="K112" s="12" t="inlineStr">
        <is>
          <t>E101</t>
        </is>
      </c>
      <c r="L112" s="13" t="inlineStr"/>
      <c r="M112" s="12">
        <f>IFERROR(XLOOKUP(L112,'DEPARTMENT REFLECTION'!$A$2:$A$20,'DEPARTMENT REFLECTION'!$B$2:$B$20,""),"")</f>
        <v/>
      </c>
      <c r="N112" s="12">
        <f>IFERROR(XLOOKUP(L112,'DEPARTMENT REFLECTION'!$A$2:$A$20,'DEPARTMENT REFLECTION'!$C$2:$C$20,""),"")</f>
        <v/>
      </c>
    </row>
    <row r="113">
      <c r="A113" s="12" t="inlineStr">
        <is>
          <t>Wong Jee Pheng</t>
        </is>
      </c>
      <c r="B113" s="12" t="inlineStr">
        <is>
          <t>10:00–10:45</t>
        </is>
      </c>
      <c r="C113" s="12" t="inlineStr">
        <is>
          <t>Breakout 1</t>
        </is>
      </c>
      <c r="D113" s="12" t="inlineStr">
        <is>
          <t>Exploring the Use of Non-Linear Pedagogy Principles to Deepen Student Learning in Physical Education</t>
        </is>
      </c>
      <c r="E113" s="12" t="inlineStr">
        <is>
          <t>Francis Lee</t>
        </is>
      </c>
      <c r="F113" s="12" t="inlineStr">
        <is>
          <t>E103</t>
        </is>
      </c>
      <c r="G113" s="12" t="inlineStr">
        <is>
          <t>11:00–11:45</t>
        </is>
      </c>
      <c r="H113" s="12" t="inlineStr">
        <is>
          <t>Breakout 2</t>
        </is>
      </c>
      <c r="I113" s="12" t="inlineStr">
        <is>
          <t>Empowering Students to Understand Concepts, Not Just Content</t>
        </is>
      </c>
      <c r="J113" s="12" t="inlineStr">
        <is>
          <t>Trevor Tay &amp; Nuryani Suneh</t>
        </is>
      </c>
      <c r="K113" s="12" t="inlineStr">
        <is>
          <t>B110</t>
        </is>
      </c>
      <c r="L113" s="13" t="inlineStr"/>
      <c r="M113" s="12">
        <f>IFERROR(XLOOKUP(L113,'DEPARTMENT REFLECTION'!$A$2:$A$20,'DEPARTMENT REFLECTION'!$B$2:$B$20,""),"")</f>
        <v/>
      </c>
      <c r="N113" s="12">
        <f>IFERROR(XLOOKUP(L113,'DEPARTMENT REFLECTION'!$A$2:$A$20,'DEPARTMENT REFLECTION'!$C$2:$C$20,""),"")</f>
        <v/>
      </c>
    </row>
    <row r="114">
      <c r="A114" s="12" t="inlineStr">
        <is>
          <t>Wong Kok Wye, Danny</t>
        </is>
      </c>
      <c r="B114" s="12" t="inlineStr">
        <is>
          <t>10:00–10:45</t>
        </is>
      </c>
      <c r="C114" s="12" t="inlineStr">
        <is>
          <t>Breakout 1</t>
        </is>
      </c>
      <c r="D114" s="12" t="inlineStr">
        <is>
          <t>Exploring the Use of Non-Linear Pedagogy Principles to Deepen Student Learning in Physical Education</t>
        </is>
      </c>
      <c r="E114" s="12" t="inlineStr">
        <is>
          <t>Francis Lee</t>
        </is>
      </c>
      <c r="F114" s="12" t="inlineStr">
        <is>
          <t>E103</t>
        </is>
      </c>
      <c r="G114" s="12" t="inlineStr">
        <is>
          <t>11:00–11:45</t>
        </is>
      </c>
      <c r="H114" s="12" t="inlineStr">
        <is>
          <t>Breakout 2</t>
        </is>
      </c>
      <c r="I114" s="12" t="inlineStr">
        <is>
          <t>Cultivating Self-Directedness, Co-Constructing Success</t>
        </is>
      </c>
      <c r="J114" s="12" t="inlineStr">
        <is>
          <t>Anuthama &amp; Esther Wang</t>
        </is>
      </c>
      <c r="K114" s="12" t="inlineStr">
        <is>
          <t>E101</t>
        </is>
      </c>
      <c r="L114" s="13" t="inlineStr"/>
      <c r="M114" s="12">
        <f>IFERROR(XLOOKUP(L114,'DEPARTMENT REFLECTION'!$A$2:$A$20,'DEPARTMENT REFLECTION'!$B$2:$B$20,""),"")</f>
        <v/>
      </c>
      <c r="N114" s="12">
        <f>IFERROR(XLOOKUP(L114,'DEPARTMENT REFLECTION'!$A$2:$A$20,'DEPARTMENT REFLECTION'!$C$2:$C$20,""),"")</f>
        <v/>
      </c>
    </row>
    <row r="115">
      <c r="A115" s="12" t="inlineStr">
        <is>
          <t>Wong Wei Ming Jared</t>
        </is>
      </c>
      <c r="B115" s="12" t="inlineStr">
        <is>
          <t>10:00–10:45</t>
        </is>
      </c>
      <c r="C115" s="12" t="inlineStr">
        <is>
          <t>Breakout 1</t>
        </is>
      </c>
      <c r="D115" s="12" t="inlineStr">
        <is>
          <t>Multimodal Learning for Multi-Faceted Development of e21CC Skills</t>
        </is>
      </c>
      <c r="E115" s="12" t="inlineStr">
        <is>
          <t>Florence Ang &amp; Caroline Sng</t>
        </is>
      </c>
      <c r="F115" s="12" t="inlineStr">
        <is>
          <t>B106</t>
        </is>
      </c>
      <c r="G115" s="12" t="inlineStr">
        <is>
          <t>11:00–11:45</t>
        </is>
      </c>
      <c r="H115" s="12" t="inlineStr">
        <is>
          <t>Breakout 2</t>
        </is>
      </c>
      <c r="I115" s="12" t="inlineStr">
        <is>
          <t>Empowering Students to Understand Concepts, Not Just Content</t>
        </is>
      </c>
      <c r="J115" s="12" t="inlineStr">
        <is>
          <t>Trevor Tay &amp; Nuryani Suneh</t>
        </is>
      </c>
      <c r="K115" s="12" t="inlineStr">
        <is>
          <t>B110</t>
        </is>
      </c>
      <c r="L115" s="13" t="inlineStr"/>
      <c r="M115" s="12">
        <f>IFERROR(XLOOKUP(L115,'DEPARTMENT REFLECTION'!$A$2:$A$20,'DEPARTMENT REFLECTION'!$B$2:$B$20,""),"")</f>
        <v/>
      </c>
      <c r="N115" s="12">
        <f>IFERROR(XLOOKUP(L115,'DEPARTMENT REFLECTION'!$A$2:$A$20,'DEPARTMENT REFLECTION'!$C$2:$C$20,""),"")</f>
        <v/>
      </c>
    </row>
    <row r="116">
      <c r="A116" s="12" t="inlineStr">
        <is>
          <t>Woo Kuan Shing Jean</t>
        </is>
      </c>
      <c r="B116" s="12" t="inlineStr">
        <is>
          <t>10:00–10:45</t>
        </is>
      </c>
      <c r="C116" s="12" t="inlineStr">
        <is>
          <t>Breakout 1</t>
        </is>
      </c>
      <c r="D116" s="12" t="inlineStr">
        <is>
          <t>Dialogic Talk for Thoughtful Thinkers</t>
        </is>
      </c>
      <c r="E116" s="12" t="inlineStr">
        <is>
          <t>Sasha Kaur dhillon</t>
        </is>
      </c>
      <c r="F116" s="12" t="inlineStr">
        <is>
          <t>G301</t>
        </is>
      </c>
      <c r="G116" s="12" t="inlineStr">
        <is>
          <t>11:00–11:45</t>
        </is>
      </c>
      <c r="H116" s="12" t="inlineStr">
        <is>
          <t>Breakout 2</t>
        </is>
      </c>
      <c r="I116" s="12" t="inlineStr">
        <is>
          <t>AI as Feedback, Not Fallback: Developing Critical Thinking Using AI</t>
        </is>
      </c>
      <c r="J116" s="12" t="inlineStr">
        <is>
          <t>Chen Ying &amp; Brendon Chee</t>
        </is>
      </c>
      <c r="K116" s="12" t="inlineStr">
        <is>
          <t>B105</t>
        </is>
      </c>
      <c r="L116" s="13" t="inlineStr"/>
      <c r="M116" s="12">
        <f>IFERROR(XLOOKUP(L116,'DEPARTMENT REFLECTION'!$A$2:$A$20,'DEPARTMENT REFLECTION'!$B$2:$B$20,""),"")</f>
        <v/>
      </c>
      <c r="N116" s="12">
        <f>IFERROR(XLOOKUP(L116,'DEPARTMENT REFLECTION'!$A$2:$A$20,'DEPARTMENT REFLECTION'!$C$2:$C$20,""),"")</f>
        <v/>
      </c>
    </row>
    <row r="117">
      <c r="A117" s="12" t="inlineStr">
        <is>
          <t>Woon Lai Leng</t>
        </is>
      </c>
      <c r="B117" s="12" t="inlineStr">
        <is>
          <t>10:00–10:45</t>
        </is>
      </c>
      <c r="C117" s="12" t="inlineStr">
        <is>
          <t>Breakout 1</t>
        </is>
      </c>
      <c r="D117" s="12" t="inlineStr">
        <is>
          <t>Leveraging on the Student Learning Space (SLS) to Enhance Global Literacy</t>
        </is>
      </c>
      <c r="E117" s="12" t="inlineStr">
        <is>
          <t>Niki Lee</t>
        </is>
      </c>
      <c r="F117" s="12" t="inlineStr">
        <is>
          <t>B105</t>
        </is>
      </c>
      <c r="G117" s="12" t="inlineStr">
        <is>
          <t>11:00–11:45</t>
        </is>
      </c>
      <c r="H117" s="12" t="inlineStr">
        <is>
          <t>Breakout 2</t>
        </is>
      </c>
      <c r="I117" s="12" t="inlineStr">
        <is>
          <t>AI as Feedback, Not Fallback: Developing Critical Thinking Using AI</t>
        </is>
      </c>
      <c r="J117" s="12" t="inlineStr">
        <is>
          <t>Chen Ying &amp; Brendon Chee</t>
        </is>
      </c>
      <c r="K117" s="12" t="inlineStr">
        <is>
          <t>B105</t>
        </is>
      </c>
      <c r="L117" s="13" t="inlineStr"/>
      <c r="M117" s="12">
        <f>IFERROR(XLOOKUP(L117,'DEPARTMENT REFLECTION'!$A$2:$A$20,'DEPARTMENT REFLECTION'!$B$2:$B$20,""),"")</f>
        <v/>
      </c>
      <c r="N117" s="12">
        <f>IFERROR(XLOOKUP(L117,'DEPARTMENT REFLECTION'!$A$2:$A$20,'DEPARTMENT REFLECTION'!$C$2:$C$20,""),"")</f>
        <v/>
      </c>
    </row>
    <row r="118">
      <c r="A118" s="12" t="inlineStr">
        <is>
          <t>Wu Xiuyun Rebecca</t>
        </is>
      </c>
      <c r="B118" s="12" t="inlineStr">
        <is>
          <t>10:00–10:45</t>
        </is>
      </c>
      <c r="C118" s="12" t="inlineStr">
        <is>
          <t>Breakout 1</t>
        </is>
      </c>
      <c r="D118" s="12" t="inlineStr">
        <is>
          <t>Fostering Student Passion in Project Work Using the From Near to Far Framework</t>
        </is>
      </c>
      <c r="E118" s="12" t="inlineStr">
        <is>
          <t>Mariya Ahmad</t>
        </is>
      </c>
      <c r="F118" s="12" t="inlineStr">
        <is>
          <t>E104</t>
        </is>
      </c>
      <c r="G118" s="12" t="inlineStr">
        <is>
          <t>11:00–11:45</t>
        </is>
      </c>
      <c r="H118" s="12" t="inlineStr">
        <is>
          <t>Breakout 2</t>
        </is>
      </c>
      <c r="I118" s="12" t="inlineStr">
        <is>
          <t>Empowering Students to Understand Concepts, Not Just Content</t>
        </is>
      </c>
      <c r="J118" s="12" t="inlineStr">
        <is>
          <t>Trevor Tay &amp; Nuryani Suneh</t>
        </is>
      </c>
      <c r="K118" s="12" t="inlineStr">
        <is>
          <t>B110</t>
        </is>
      </c>
      <c r="L118" s="13" t="inlineStr"/>
      <c r="M118" s="12">
        <f>IFERROR(XLOOKUP(L118,'DEPARTMENT REFLECTION'!$A$2:$A$20,'DEPARTMENT REFLECTION'!$B$2:$B$20,""),"")</f>
        <v/>
      </c>
      <c r="N118" s="12">
        <f>IFERROR(XLOOKUP(L118,'DEPARTMENT REFLECTION'!$A$2:$A$20,'DEPARTMENT REFLECTION'!$C$2:$C$20,""),"")</f>
        <v/>
      </c>
    </row>
    <row r="119">
      <c r="A119" s="12" t="inlineStr">
        <is>
          <t>Xiang Yifei</t>
        </is>
      </c>
      <c r="B119" s="12" t="inlineStr">
        <is>
          <t>10:00–10:45</t>
        </is>
      </c>
      <c r="C119" s="12" t="inlineStr">
        <is>
          <t>Breakout 1</t>
        </is>
      </c>
      <c r="D119" s="12" t="inlineStr">
        <is>
          <t>Leveraging on the Student Learning Space (SLS) to Enhance Global Literacy</t>
        </is>
      </c>
      <c r="E119" s="12" t="inlineStr">
        <is>
          <t>Niki Lee</t>
        </is>
      </c>
      <c r="F119" s="12" t="inlineStr">
        <is>
          <t>B105</t>
        </is>
      </c>
      <c r="G119" s="12" t="inlineStr">
        <is>
          <t>11:00–11:45</t>
        </is>
      </c>
      <c r="H119" s="12" t="inlineStr">
        <is>
          <t>Breakout 2</t>
        </is>
      </c>
      <c r="I119" s="12" t="inlineStr">
        <is>
          <t>AIMS vs Gemini: What AI Feedback Reveals About Student Writing (And What It Might Not)</t>
        </is>
      </c>
      <c r="J119" s="12" t="inlineStr">
        <is>
          <t>Irene Kuek &amp; Lin Pei-Chen</t>
        </is>
      </c>
      <c r="K119" s="12" t="inlineStr">
        <is>
          <t>E103</t>
        </is>
      </c>
      <c r="L119" s="13" t="inlineStr"/>
      <c r="M119" s="12">
        <f>IFERROR(XLOOKUP(L119,'DEPARTMENT REFLECTION'!$A$2:$A$20,'DEPARTMENT REFLECTION'!$B$2:$B$20,""),"")</f>
        <v/>
      </c>
      <c r="N119" s="12">
        <f>IFERROR(XLOOKUP(L119,'DEPARTMENT REFLECTION'!$A$2:$A$20,'DEPARTMENT REFLECTION'!$C$2:$C$20,""),"")</f>
        <v/>
      </c>
    </row>
    <row r="120">
      <c r="A120" s="12" t="inlineStr">
        <is>
          <t>Yang Weizheng, Adrian</t>
        </is>
      </c>
      <c r="B120" s="12" t="inlineStr">
        <is>
          <t>10:00–10:45</t>
        </is>
      </c>
      <c r="C120" s="12" t="inlineStr">
        <is>
          <t>Breakout 1</t>
        </is>
      </c>
      <c r="D120" s="12" t="inlineStr">
        <is>
          <t>AI and AA: An Attempt at Amalgamation</t>
        </is>
      </c>
      <c r="E120" s="12" t="inlineStr">
        <is>
          <t>Low Kian Seh</t>
        </is>
      </c>
      <c r="F120" s="12" t="inlineStr">
        <is>
          <t>E102</t>
        </is>
      </c>
      <c r="G120" s="12" t="inlineStr">
        <is>
          <t>11:00–11:45</t>
        </is>
      </c>
      <c r="H120" s="12" t="inlineStr">
        <is>
          <t>Breakout 2</t>
        </is>
      </c>
      <c r="I120" s="12" t="inlineStr">
        <is>
          <t>Redesigning Mathematics Learning: Our ILP Journey and Pedagogical Shifts</t>
        </is>
      </c>
      <c r="J120" s="12" t="inlineStr">
        <is>
          <t>Kelvin Ng &amp; Leonard Lau</t>
        </is>
      </c>
      <c r="K120" s="12" t="inlineStr">
        <is>
          <t>E102</t>
        </is>
      </c>
      <c r="L120" s="13" t="inlineStr"/>
      <c r="M120" s="12">
        <f>IFERROR(XLOOKUP(L120,'DEPARTMENT REFLECTION'!$A$2:$A$20,'DEPARTMENT REFLECTION'!$B$2:$B$20,""),"")</f>
        <v/>
      </c>
      <c r="N120" s="12">
        <f>IFERROR(XLOOKUP(L120,'DEPARTMENT REFLECTION'!$A$2:$A$20,'DEPARTMENT REFLECTION'!$C$2:$C$20,""),"")</f>
        <v/>
      </c>
    </row>
    <row r="121">
      <c r="A121" s="12" t="inlineStr">
        <is>
          <t>Yap Zong Xing, Eric</t>
        </is>
      </c>
      <c r="B121" s="12" t="inlineStr">
        <is>
          <t>10:00–10:45</t>
        </is>
      </c>
      <c r="C121" s="12" t="inlineStr">
        <is>
          <t>Breakout 1</t>
        </is>
      </c>
      <c r="D121" s="12" t="inlineStr">
        <is>
          <t>Exploring the Use of Non-Linear Pedagogy Principles to Deepen Student Learning in Physical Education</t>
        </is>
      </c>
      <c r="E121" s="12" t="inlineStr">
        <is>
          <t>Francis Lee</t>
        </is>
      </c>
      <c r="F121" s="12" t="inlineStr">
        <is>
          <t>E103</t>
        </is>
      </c>
      <c r="G121" s="12" t="inlineStr">
        <is>
          <t>11:00–11:45</t>
        </is>
      </c>
      <c r="H121" s="12" t="inlineStr">
        <is>
          <t>Breakout 2</t>
        </is>
      </c>
      <c r="I121" s="12" t="inlineStr">
        <is>
          <t>AI as Feedback, Not Fallback: Developing Critical Thinking Using AI</t>
        </is>
      </c>
      <c r="J121" s="12" t="inlineStr">
        <is>
          <t>Chen Ying &amp; Brendon Chee</t>
        </is>
      </c>
      <c r="K121" s="12" t="inlineStr">
        <is>
          <t>B105</t>
        </is>
      </c>
      <c r="L121" s="13" t="inlineStr"/>
      <c r="M121" s="12">
        <f>IFERROR(XLOOKUP(L121,'DEPARTMENT REFLECTION'!$A$2:$A$20,'DEPARTMENT REFLECTION'!$B$2:$B$20,""),"")</f>
        <v/>
      </c>
      <c r="N121" s="12">
        <f>IFERROR(XLOOKUP(L121,'DEPARTMENT REFLECTION'!$A$2:$A$20,'DEPARTMENT REFLECTION'!$C$2:$C$20,""),"")</f>
        <v/>
      </c>
    </row>
    <row r="122">
      <c r="A122" s="12" t="inlineStr">
        <is>
          <t>Yee Zhi Wei, Daniel</t>
        </is>
      </c>
      <c r="B122" s="12" t="inlineStr">
        <is>
          <t>10:00–10:45</t>
        </is>
      </c>
      <c r="C122" s="12" t="inlineStr">
        <is>
          <t>Breakout 1</t>
        </is>
      </c>
      <c r="D122" s="12" t="inlineStr">
        <is>
          <t>Fostering Student Passion in Project Work Using the From Near to Far Framework</t>
        </is>
      </c>
      <c r="E122" s="12" t="inlineStr">
        <is>
          <t>Mariya Ahmad</t>
        </is>
      </c>
      <c r="F122" s="12" t="inlineStr">
        <is>
          <t>E104</t>
        </is>
      </c>
      <c r="G122" s="12" t="inlineStr">
        <is>
          <t>11:00–11:45</t>
        </is>
      </c>
      <c r="H122" s="12" t="inlineStr">
        <is>
          <t>Breakout 2</t>
        </is>
      </c>
      <c r="I122" s="12" t="inlineStr">
        <is>
          <t>Fostering Critical Thinking and Communication through Real-World Chemistry Projects</t>
        </is>
      </c>
      <c r="J122" s="12" t="inlineStr">
        <is>
          <t>Veron Lee, Joanne Tan &amp; Joel Chung</t>
        </is>
      </c>
      <c r="K122" s="12" t="inlineStr">
        <is>
          <t>E105</t>
        </is>
      </c>
      <c r="L122" s="13" t="inlineStr"/>
      <c r="M122" s="12">
        <f>IFERROR(XLOOKUP(L122,'DEPARTMENT REFLECTION'!$A$2:$A$20,'DEPARTMENT REFLECTION'!$B$2:$B$20,""),"")</f>
        <v/>
      </c>
      <c r="N122" s="12">
        <f>IFERROR(XLOOKUP(L122,'DEPARTMENT REFLECTION'!$A$2:$A$20,'DEPARTMENT REFLECTION'!$C$2:$C$20,""),"")</f>
        <v/>
      </c>
    </row>
    <row r="123">
      <c r="A123" s="12" t="inlineStr">
        <is>
          <t>Yeo Chiu Jin</t>
        </is>
      </c>
      <c r="B123" s="12" t="inlineStr">
        <is>
          <t>10:00–10:45</t>
        </is>
      </c>
      <c r="C123" s="12" t="inlineStr">
        <is>
          <t>Breakout 1</t>
        </is>
      </c>
      <c r="D123" s="12" t="inlineStr">
        <is>
          <t>AI in Mathematics: See the Thinking, Shape the Learning, Spark Joy</t>
        </is>
      </c>
      <c r="E123" s="12" t="inlineStr">
        <is>
          <t>Ng Lay Ling</t>
        </is>
      </c>
      <c r="F123" s="12" t="inlineStr">
        <is>
          <t>B109</t>
        </is>
      </c>
      <c r="G123" s="12" t="inlineStr">
        <is>
          <t>11:00–11:45</t>
        </is>
      </c>
      <c r="H123" s="12" t="inlineStr">
        <is>
          <t>Breakout 2</t>
        </is>
      </c>
      <c r="I123" s="12" t="inlineStr">
        <is>
          <t>Use of Brisk Teaching: Practical Strategies to Develop Metacognition and Adaptive Thinking through Form</t>
        </is>
      </c>
      <c r="J123" s="12" t="inlineStr">
        <is>
          <t>Alan Varella &amp; Cyrene Tan</t>
        </is>
      </c>
      <c r="K123" s="12" t="inlineStr">
        <is>
          <t>E104</t>
        </is>
      </c>
      <c r="L123" s="13" t="inlineStr"/>
      <c r="M123" s="12">
        <f>IFERROR(XLOOKUP(L123,'DEPARTMENT REFLECTION'!$A$2:$A$20,'DEPARTMENT REFLECTION'!$B$2:$B$20,""),"")</f>
        <v/>
      </c>
      <c r="N123" s="12">
        <f>IFERROR(XLOOKUP(L123,'DEPARTMENT REFLECTION'!$A$2:$A$20,'DEPARTMENT REFLECTION'!$C$2:$C$20,""),"")</f>
        <v/>
      </c>
    </row>
    <row r="124">
      <c r="A124" s="12" t="inlineStr">
        <is>
          <t>Yow Pei Lian</t>
        </is>
      </c>
      <c r="B124" s="12" t="inlineStr">
        <is>
          <t>10:00–10:45</t>
        </is>
      </c>
      <c r="C124" s="12" t="inlineStr">
        <is>
          <t>Breakout 1</t>
        </is>
      </c>
      <c r="D124" s="12" t="inlineStr">
        <is>
          <t>Dialogic Talk for Thoughtful Thinkers</t>
        </is>
      </c>
      <c r="E124" s="12" t="inlineStr">
        <is>
          <t>Sasha Kaur dhillon</t>
        </is>
      </c>
      <c r="F124" s="12" t="inlineStr">
        <is>
          <t>G301</t>
        </is>
      </c>
      <c r="G124" s="12" t="inlineStr">
        <is>
          <t>11:00–11:45</t>
        </is>
      </c>
      <c r="H124" s="12" t="inlineStr">
        <is>
          <t>Breakout 2</t>
        </is>
      </c>
      <c r="I124" s="12" t="inlineStr">
        <is>
          <t>Redesigning Mathematics Learning: Our ILP Journey and Pedagogical Shifts</t>
        </is>
      </c>
      <c r="J124" s="12" t="inlineStr">
        <is>
          <t>Kelvin Ng &amp; Leonard Lau</t>
        </is>
      </c>
      <c r="K124" s="12" t="inlineStr">
        <is>
          <t>E102</t>
        </is>
      </c>
      <c r="L124" s="13" t="inlineStr"/>
      <c r="M124" s="12">
        <f>IFERROR(XLOOKUP(L124,'DEPARTMENT REFLECTION'!$A$2:$A$20,'DEPARTMENT REFLECTION'!$B$2:$B$20,""),"")</f>
        <v/>
      </c>
      <c r="N124" s="12">
        <f>IFERROR(XLOOKUP(L124,'DEPARTMENT REFLECTION'!$A$2:$A$20,'DEPARTMENT REFLECTION'!$C$2:$C$20,""),"")</f>
        <v/>
      </c>
    </row>
    <row r="125">
      <c r="A125" s="12" t="inlineStr">
        <is>
          <t>Zhang Jiao</t>
        </is>
      </c>
      <c r="B125" s="12" t="inlineStr">
        <is>
          <t>10:00–10:45</t>
        </is>
      </c>
      <c r="C125" s="12" t="inlineStr">
        <is>
          <t>Breakout 1</t>
        </is>
      </c>
      <c r="D125" s="12" t="inlineStr">
        <is>
          <t>AI and AA: An Attempt at Amalgamation</t>
        </is>
      </c>
      <c r="E125" s="12" t="inlineStr">
        <is>
          <t>Low Kian Seh</t>
        </is>
      </c>
      <c r="F125" s="12" t="inlineStr">
        <is>
          <t>E102</t>
        </is>
      </c>
      <c r="G125" s="12" t="inlineStr">
        <is>
          <t>11:00–11:45</t>
        </is>
      </c>
      <c r="H125" s="12" t="inlineStr">
        <is>
          <t>Breakout 2</t>
        </is>
      </c>
      <c r="I125" s="12" t="inlineStr">
        <is>
          <t>Evidence-Driven Decision-Making: Using Student Data to Complement Teacher Observations</t>
        </is>
      </c>
      <c r="J125" s="12" t="inlineStr">
        <is>
          <t>Christabelle Soh</t>
        </is>
      </c>
      <c r="K125" s="12" t="inlineStr">
        <is>
          <t>B106</t>
        </is>
      </c>
      <c r="L125" s="13" t="inlineStr"/>
      <c r="M125" s="12">
        <f>IFERROR(XLOOKUP(L125,'DEPARTMENT REFLECTION'!$A$2:$A$20,'DEPARTMENT REFLECTION'!$B$2:$B$20,""),"")</f>
        <v/>
      </c>
      <c r="N125" s="12">
        <f>IFERROR(XLOOKUP(L125,'DEPARTMENT REFLECTION'!$A$2:$A$20,'DEPARTMENT REFLECTION'!$C$2:$C$20,""),"")</f>
        <v/>
      </c>
    </row>
    <row r="126">
      <c r="A126" s="12" t="inlineStr">
        <is>
          <t>Zhou Xuanyi</t>
        </is>
      </c>
      <c r="B126" s="12" t="inlineStr">
        <is>
          <t>10:00–10:45</t>
        </is>
      </c>
      <c r="C126" s="12" t="inlineStr">
        <is>
          <t>Breakout 1</t>
        </is>
      </c>
      <c r="D126" s="12" t="inlineStr">
        <is>
          <t>Exploring the Use of Non-Linear Pedagogy Principles to Deepen Student Learning in Physical Education</t>
        </is>
      </c>
      <c r="E126" s="12" t="inlineStr">
        <is>
          <t>Francis Lee</t>
        </is>
      </c>
      <c r="F126" s="12" t="inlineStr">
        <is>
          <t>E103</t>
        </is>
      </c>
      <c r="G126" s="12" t="inlineStr">
        <is>
          <t>11:00–11:45</t>
        </is>
      </c>
      <c r="H126" s="12" t="inlineStr">
        <is>
          <t>Breakout 2</t>
        </is>
      </c>
      <c r="I126" s="12" t="inlineStr">
        <is>
          <t>Experimenting with a Pedagogy of Discomfort in the GP Classroom</t>
        </is>
      </c>
      <c r="J126" s="12" t="inlineStr">
        <is>
          <t>Maryam Mohamed Mokhtar</t>
        </is>
      </c>
      <c r="K126" s="12" t="inlineStr">
        <is>
          <t>B109</t>
        </is>
      </c>
      <c r="L126" s="13" t="inlineStr"/>
      <c r="M126" s="12">
        <f>IFERROR(XLOOKUP(L126,'DEPARTMENT REFLECTION'!$A$2:$A$20,'DEPARTMENT REFLECTION'!$B$2:$B$20,""),"")</f>
        <v/>
      </c>
      <c r="N126" s="12">
        <f>IFERROR(XLOOKUP(L126,'DEPARTMENT REFLECTION'!$A$2:$A$20,'DEPARTMENT REFLECTION'!$C$2:$C$20,""),"")</f>
        <v/>
      </c>
    </row>
  </sheetData>
  <autoFilter ref="A1:N126"/>
  <conditionalFormatting sqref="L2:L126">
    <cfRule type="expression" priority="1" dxfId="0">
      <formula>L2=""</formula>
    </cfRule>
  </conditionalFormatting>
  <dataValidations count="1">
    <dataValidation sqref="L2:L126" showDropDown="0" showInputMessage="0" showErrorMessage="0" allowBlank="1" errorTitle="Invalid department" error="Please choose a department from the list." promptTitle="Choose department" prompt="Choose the participant's department to populate reflection details." type="list">
      <formula1>'DEPARTMENT REFLECTION'!$A$2:$A$15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20" customWidth="1" min="2" max="2"/>
    <col width="28" customWidth="1" min="3" max="3"/>
  </cols>
  <sheetData>
    <row r="1" ht="34" customHeight="1">
      <c r="A1" s="3" t="inlineStr">
        <is>
          <t>Department</t>
        </is>
      </c>
      <c r="B1" s="3" t="inlineStr">
        <is>
          <t>Venue</t>
        </is>
      </c>
      <c r="C1" s="3" t="inlineStr">
        <is>
          <t>HOD / Facilitator</t>
        </is>
      </c>
    </row>
    <row r="2">
      <c r="A2" s="14" t="inlineStr">
        <is>
          <t>Arts Department: Aesthetics (Art &amp; Music)</t>
        </is>
      </c>
      <c r="B2" s="14" t="inlineStr">
        <is>
          <t>E109</t>
        </is>
      </c>
      <c r="C2" s="14" t="inlineStr">
        <is>
          <t>Marcus Tay</t>
        </is>
      </c>
    </row>
    <row r="3">
      <c r="A3" s="14" t="inlineStr">
        <is>
          <t>Arts Department: Humanities – JC(Economics, Geography &amp; History)</t>
        </is>
      </c>
      <c r="B3" s="14" t="inlineStr">
        <is>
          <t>History Room</t>
        </is>
      </c>
      <c r="C3" s="14" t="inlineStr">
        <is>
          <t>Melissa</t>
        </is>
      </c>
    </row>
    <row r="4">
      <c r="A4" s="14" t="inlineStr">
        <is>
          <t>Arts Department: Humanities – IP(Geography, History &amp; Singapore Studies)</t>
        </is>
      </c>
      <c r="B4" s="14" t="inlineStr">
        <is>
          <t>Geography Room</t>
        </is>
      </c>
      <c r="C4" s="14" t="inlineStr">
        <is>
          <t>Brendon</t>
        </is>
      </c>
    </row>
    <row r="5">
      <c r="A5" s="14" t="inlineStr">
        <is>
          <t>English Department – JC(General paper &amp; Knowledge &amp; Inquiry)</t>
        </is>
      </c>
      <c r="B5" s="14" t="inlineStr">
        <is>
          <t>B105</t>
        </is>
      </c>
      <c r="C5" s="14" t="inlineStr">
        <is>
          <t>Faye</t>
        </is>
      </c>
    </row>
    <row r="6">
      <c r="A6" s="14" t="inlineStr">
        <is>
          <t>English Department – IP(Language Arts &amp; English Literature)</t>
        </is>
      </c>
      <c r="B6" s="14" t="inlineStr">
        <is>
          <t>B106</t>
        </is>
      </c>
      <c r="C6" s="14" t="inlineStr">
        <is>
          <t>Caroline</t>
        </is>
      </c>
    </row>
    <row r="7">
      <c r="A7" s="14" t="inlineStr">
        <is>
          <t>Mathematics Department (IP)</t>
        </is>
      </c>
      <c r="B7" s="14" t="inlineStr">
        <is>
          <t>E101</t>
        </is>
      </c>
      <c r="C7" s="14" t="inlineStr">
        <is>
          <t>Marcus Goh</t>
        </is>
      </c>
    </row>
    <row r="8">
      <c r="A8" s="14" t="inlineStr">
        <is>
          <t>Mathematics Department (JC)</t>
        </is>
      </c>
      <c r="B8" s="14" t="inlineStr">
        <is>
          <t>E102</t>
        </is>
      </c>
      <c r="C8" s="14" t="inlineStr">
        <is>
          <t>Kheng Kiat</t>
        </is>
      </c>
    </row>
    <row r="9">
      <c r="A9" s="14" t="inlineStr">
        <is>
          <t>Mother Tongue Department (IP)</t>
        </is>
      </c>
      <c r="B9" s="14" t="inlineStr">
        <is>
          <t>B109</t>
        </is>
      </c>
      <c r="C9" s="14" t="inlineStr">
        <is>
          <t>Lay Pheng</t>
        </is>
      </c>
    </row>
    <row r="10">
      <c r="A10" s="14" t="inlineStr">
        <is>
          <t>Mother Tongue Department (JC)</t>
        </is>
      </c>
      <c r="B10" s="14" t="inlineStr">
        <is>
          <t>B110</t>
        </is>
      </c>
      <c r="C10" s="14" t="inlineStr">
        <is>
          <t>Chee Wai</t>
        </is>
      </c>
    </row>
    <row r="11">
      <c r="A11" s="14" t="inlineStr">
        <is>
          <t>Physical Education Department</t>
        </is>
      </c>
      <c r="B11" s="14" t="inlineStr">
        <is>
          <t>E103</t>
        </is>
      </c>
      <c r="C11" s="14" t="inlineStr">
        <is>
          <t>Irwan</t>
        </is>
      </c>
    </row>
    <row r="12">
      <c r="A12" s="14" t="inlineStr">
        <is>
          <t>Learning, Extension and Application (LEAPS)</t>
        </is>
      </c>
      <c r="B12" s="14" t="inlineStr">
        <is>
          <t>E104</t>
        </is>
      </c>
      <c r="C12" s="14" t="inlineStr">
        <is>
          <t>Jolene</t>
        </is>
      </c>
    </row>
    <row r="13">
      <c r="A13" s="14" t="inlineStr">
        <is>
          <t>Science Department (IP)</t>
        </is>
      </c>
      <c r="B13" s="14" t="inlineStr">
        <is>
          <t>E105</t>
        </is>
      </c>
      <c r="C13" s="14" t="inlineStr">
        <is>
          <t>Kian Seh</t>
        </is>
      </c>
    </row>
    <row r="14">
      <c r="A14" s="14" t="inlineStr">
        <is>
          <t>Science Department (JC)</t>
        </is>
      </c>
      <c r="B14" s="14" t="inlineStr">
        <is>
          <t>E106</t>
        </is>
      </c>
      <c r="C14" s="14" t="inlineStr">
        <is>
          <t>Miaohui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8" customWidth="1" min="3" max="3"/>
    <col width="66" customWidth="1" min="4" max="4"/>
  </cols>
  <sheetData>
    <row r="1" ht="30" customHeight="1">
      <c r="A1" s="15" t="inlineStr">
        <is>
          <t>Source Data Notes</t>
        </is>
      </c>
    </row>
    <row r="2">
      <c r="A2" s="16" t="inlineStr">
        <is>
          <t>Issue</t>
        </is>
      </c>
      <c r="B2" s="16" t="inlineStr">
        <is>
          <t>Participant</t>
        </is>
      </c>
      <c r="C2" s="16" t="inlineStr">
        <is>
          <t>Impact</t>
        </is>
      </c>
      <c r="D2" s="16" t="inlineStr">
        <is>
          <t>Recommended action</t>
        </is>
      </c>
    </row>
    <row r="3">
      <c r="A3" s="17" t="inlineStr">
        <is>
          <t>Missing Breakout 1 allocation in source</t>
        </is>
      </c>
      <c r="B3" s="17" t="inlineStr">
        <is>
          <t>Jismyl Lam</t>
        </is>
      </c>
      <c r="C3" s="17" t="inlineStr">
        <is>
          <t>Breakout 1 details are blank in the search result.</t>
        </is>
      </c>
      <c r="D3" s="17" t="inlineStr">
        <is>
          <t>Confirm the allocation and update columns D–F in PARTICIPANT DIRECTORY.</t>
        </is>
      </c>
    </row>
    <row r="4">
      <c r="A4" s="17" t="inlineStr">
        <is>
          <t>Missing Breakout 1 allocation in source</t>
        </is>
      </c>
      <c r="B4" s="17" t="inlineStr">
        <is>
          <t>Sasha Kaur Dhillon</t>
        </is>
      </c>
      <c r="C4" s="17" t="inlineStr">
        <is>
          <t>Breakout 1 details are blank in the search result.</t>
        </is>
      </c>
      <c r="D4" s="17" t="inlineStr">
        <is>
          <t>Confirm the allocation and update columns D–F in PARTICIPANT DIRECTORY.</t>
        </is>
      </c>
    </row>
    <row r="5">
      <c r="A5" s="17" t="inlineStr">
        <is>
          <t>Missing Breakout 2 allocation in source</t>
        </is>
      </c>
      <c r="B5" s="17" t="inlineStr">
        <is>
          <t>Mark Chan</t>
        </is>
      </c>
      <c r="C5" s="17" t="inlineStr">
        <is>
          <t>Breakout 2 details are blank in the search result.</t>
        </is>
      </c>
      <c r="D5" s="17" t="inlineStr">
        <is>
          <t>Confirm the allocation and update columns I–K in PARTICIPANT DIRECTORY.</t>
        </is>
      </c>
    </row>
    <row r="6">
      <c r="A6" s="17" t="inlineStr">
        <is>
          <t>Department selected by each user</t>
        </is>
      </c>
      <c r="B6" s="17" t="inlineStr">
        <is>
          <t>All participants</t>
        </is>
      </c>
      <c r="C6" s="17" t="inlineStr">
        <is>
          <t>Reflection details appear after the user selects a department.</t>
        </is>
      </c>
      <c r="D6" s="17" t="inlineStr">
        <is>
          <t>Use the green department dropdown on the SEARCH sheet.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2026-07-29T04:09:20Z</dcterms:created>
  <dcterms:modified xsi:type="dcterms:W3CDTF">2026-07-29T04:09:20Z</dcterms:modified>
</cp:coreProperties>
</file>